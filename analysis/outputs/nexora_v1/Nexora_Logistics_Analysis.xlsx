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7e2aaa709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7f9f2792ed4cb7"/>
    <x:sheet xmlns:r="http://schemas.openxmlformats.org/officeDocument/2006/relationships" name="Finance" sheetId="2" r:id="R6f27539bff944900"/>
    <x:sheet xmlns:r="http://schemas.openxmlformats.org/officeDocument/2006/relationships" name="Policy Lab" sheetId="3" r:id="Rd697d3b4c10f4008"/>
    <x:sheet xmlns:r="http://schemas.openxmlformats.org/officeDocument/2006/relationships" name="Heatmap" sheetId="4" r:id="Re4cf07e1903f4fe2"/>
    <x:sheet xmlns:r="http://schemas.openxmlformats.org/officeDocument/2006/relationships" name="Capacity" sheetId="5" r:id="Rf5fc01bcc7544dfa"/>
    <x:sheet xmlns:r="http://schemas.openxmlformats.org/officeDocument/2006/relationships" name="Geography" sheetId="6" r:id="R871264c88fab48e0"/>
    <x:sheet xmlns:r="http://schemas.openxmlformats.org/officeDocument/2006/relationships" name="Risk" sheetId="7" r:id="Rfa4066599f3f42c6"/>
    <x:sheet xmlns:r="http://schemas.openxmlformats.org/officeDocument/2006/relationships" name="Case Facts" sheetId="8" r:id="Rf37e5ed243f54072"/>
    <x:sheet xmlns:r="http://schemas.openxmlformats.org/officeDocument/2006/relationships" name="Assumptions" sheetId="9" r:id="R0cc7358157fe4abd"/>
    <x:sheet xmlns:r="http://schemas.openxmlformats.org/officeDocument/2006/relationships" name="Sources" sheetId="10" r:id="Rad23c9fde7a145d3"/>
    <x:sheet xmlns:r="http://schemas.openxmlformats.org/officeDocument/2006/relationships" name="Ops Import" sheetId="11" r:id="Rfb419f9af35f4b14"/>
    <x:sheet xmlns:r="http://schemas.openxmlformats.org/officeDocument/2006/relationships" name="Audit" sheetId="12" r:id="R70d737cc2e204284"/>
    <x:sheet xmlns:r="http://schemas.openxmlformats.org/officeDocument/2006/relationships" name="ReadMe" sheetId="13" r:id="Rfea411e8fc84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0;(#,##0.000);&quot;–&quot;"/>
    <x:numFmt numFmtId="201" formatCode="0.0%;(0.0%);&quot;–&quot;"/>
    <x:numFmt numFmtId="202" formatCode="#,##0"/>
    <x:numFmt numFmtId="203" formatCode="0"/>
    <x:numFmt numFmtId="204" formatCode="0.00x"/>
    <x:numFmt numFmtId="205" formatCode="0.000"/>
    <x:numFmt numFmtId="206" formatCode="0.000&quot; *&quot;;(0.000)&quot; *&quot;;&quot;– *&quot;"/>
    <x:numFmt numFmtId="207" formatCode="@"/>
    <x:numFmt numFmtId="208" formatCode="0.0"/>
    <x:numFmt numFmtId="209" formatCode="0.00"/>
  </x:numFmts>
  <x:fonts count="11">
    <x:font>
      <x:sz val="11"/>
      <x:name val="Carlito"/>
    </x:font>
    <x:font>
      <x:sz val="10"/>
      <x:color rgb="FF253645"/>
      <x:name val="Arial"/>
    </x:font>
    <x:font>
      <x:b/>
      <x:sz val="15"/>
      <x:color rgb="FF193C5A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i/>
      <x:sz val="10"/>
      <x:color rgb="FF596775"/>
      <x:name val="Arial"/>
    </x:font>
    <x:font>
      <x:sz val="10"/>
      <x:color rgb="FF0000FF"/>
      <x:name val="Arial"/>
    </x:font>
    <x:font>
      <x:sz val="10"/>
      <x:color rgb="FF17743C"/>
      <x:name val="Arial"/>
    </x:font>
    <x:font>
      <x:b/>
      <x:sz val="10"/>
      <x:color rgb="FF253645"/>
      <x:name val="Arial"/>
    </x:font>
    <x:font>
      <x:b/>
      <x:sz val="10"/>
      <x:color rgb="FF000000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C5A"/>
      </x:patternFill>
    </x:fill>
    <x:fill>
      <x:patternFill patternType="solid">
        <x:fgColor rgb="FFFFF3D8"/>
      </x:patternFill>
    </x:fill>
    <x:fill>
      <x:patternFill patternType="solid">
        <x:fgColor rgb="FFEEF2F5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315F83"/>
      </x:bottom>
      <x:diagonal/>
    </x:border>
    <x:border>
      <x:left/>
      <x:right/>
      <x:top/>
      <x:bottom style="dotted">
        <x:color rgb="FF315F83"/>
      </x:bottom>
      <x:diagonal/>
    </x:border>
    <x:border>
      <x:left/>
      <x:right/>
      <x:top style="thin">
        <x:color rgb="FFAFBCC6"/>
      </x:top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3" fontId="6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4" fontId="6" fillId="3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center" vertical="center" wrapText="1"/>
    </x:xf>
    <x:xf numFmtId="205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8" fillId="4" borderId="3" xfId="0" applyNumberFormat="1" applyFont="1" applyFill="1" applyBorder="1" applyAlignment="1">
      <x:alignment vertical="center"/>
    </x:xf>
    <x:xf numFmtId="200" fontId="8" fillId="4" borderId="3" xfId="0" applyNumberFormat="1" applyFont="1" applyFill="1" applyBorder="1" applyAlignment="1">
      <x:alignment vertical="center"/>
    </x:xf>
    <x:xf numFmtId="200" fontId="9" fillId="4" borderId="3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209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D3030"/>
      </x:font>
      <x:fill>
        <x:patternFill patternType="solid">
          <x:bgColor rgb="FFFCE7E7"/>
        </x:patternFill>
      </x:fill>
    </x:dxf>
    <x:dxf>
      <x:font>
        <x:b/>
        <x:color rgb="FF9D3030"/>
      </x:font>
      <x:fill>
        <x:patternFill patternType="solid">
          <x:bgColor rgb="FFFCE7E7"/>
        </x:patternFill>
      </x:fill>
    </x:dxf>
    <x:dxf>
      <x:font>
        <x:b/>
        <x:color rgb="FF9D3030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adf2a2d7d4d31" /><Relationship Type="http://schemas.openxmlformats.org/officeDocument/2006/relationships/theme" Target="/xl/theme/theme1.xml" Id="R22e63e0b8d334b76" /><Relationship Type="http://schemas.microsoft.com/office/2022/11/relationships/FeaturePropertyBag" Target="/xl/featurePropertyBag/featurePropertyBag.xml" Id="R6352e424bfe94acd" /><Relationship Type="http://schemas.openxmlformats.org/officeDocument/2006/relationships/sharedStrings" Target="/xl/sharedStrings.xml" Id="R74aea5f4f0604815" /><Relationship Type="http://schemas.openxmlformats.org/officeDocument/2006/relationships/worksheet" Target="/xl/worksheets/sheet1.xml" Id="Ra37f9f2792ed4cb7" /><Relationship Type="http://schemas.openxmlformats.org/officeDocument/2006/relationships/worksheet" Target="/xl/worksheets/sheet2.xml" Id="R6f27539bff944900" /><Relationship Type="http://schemas.openxmlformats.org/officeDocument/2006/relationships/worksheet" Target="/xl/worksheets/sheet3.xml" Id="Rd697d3b4c10f4008" /><Relationship Type="http://schemas.openxmlformats.org/officeDocument/2006/relationships/worksheet" Target="/xl/worksheets/sheet4.xml" Id="Re4cf07e1903f4fe2" /><Relationship Type="http://schemas.openxmlformats.org/officeDocument/2006/relationships/worksheet" Target="/xl/worksheets/sheet5.xml" Id="Rf5fc01bcc7544dfa" /><Relationship Type="http://schemas.openxmlformats.org/officeDocument/2006/relationships/worksheet" Target="/xl/worksheets/sheet6.xml" Id="R871264c88fab48e0" /><Relationship Type="http://schemas.openxmlformats.org/officeDocument/2006/relationships/worksheet" Target="/xl/worksheets/sheet7.xml" Id="Rfa4066599f3f42c6" /><Relationship Type="http://schemas.openxmlformats.org/officeDocument/2006/relationships/worksheet" Target="/xl/worksheets/sheet8.xml" Id="Rf37e5ed243f54072" /><Relationship Type="http://schemas.openxmlformats.org/officeDocument/2006/relationships/worksheet" Target="/xl/worksheets/sheet9.xml" Id="R0cc7358157fe4abd" /><Relationship Type="http://schemas.openxmlformats.org/officeDocument/2006/relationships/worksheet" Target="/xl/worksheets/sheet10.xml" Id="Rad23c9fde7a145d3" /><Relationship Type="http://schemas.openxmlformats.org/officeDocument/2006/relationships/worksheet" Target="/xl/worksheets/sheet11.xml" Id="Rfb419f9af35f4b14" /><Relationship Type="http://schemas.openxmlformats.org/officeDocument/2006/relationships/worksheet" Target="/xl/worksheets/sheet12.xml" Id="R70d737cc2e204284" /><Relationship Type="http://schemas.openxmlformats.org/officeDocument/2006/relationships/worksheet" Target="/xl/worksheets/sheet13.xml" Id="Rfea411e8fc8448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c72c76e18f41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five-year NPV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NPV</c:v>
          </c:tx>
          <c:spPr>
            <a:solidFill xmlns:a="http://schemas.openxmlformats.org/drawingml/2006/main">
              <a:srgbClr val="315F83"/>
            </a:solidFill>
          </c:spPr>
          <c:invertIfNegative val="0"/>
          <c:cat>
            <c:strRef>
              <c:f>'Summary'!$C$19:$C$24</c:f>
              <c:strCache>
                <c:ptCount val="0"/>
              </c:strCache>
            </c:strRef>
          </c:cat>
          <c:val>
            <c:numRef>
              <c:f>'Summary'!$D$19:$D$24</c:f>
              <c:numCache>
                <c:formatCode>#,##0.000;(#,##0.000);"–"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c72c76e18f418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9102f099284808" /></Relationships>
</file>

<file path=xl/worksheets/sheet1.xml><?xml version="1.0" encoding="utf-8"?>
<x:worksheet xmlns:x="http://schemas.openxmlformats.org/spreadsheetml/2006/main">
  <x:sheetPr>
    <x:tabColor rgb="FF193C5A"/>
  </x:sheetPr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Nexora logistics investment assessment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3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22" customHeight="1">
      <x:c r="A5" s="1"/>
      <x:c r="B5" s="1"/>
      <x:c r="C5" s="3" t="str">
        <x:v>Conditional investment candidate</x:v>
      </x:c>
      <x:c r="D5" s="28" t="str">
        <x:f>'Finance'!F4</x:f>
        <x:v>P_SOFTWARE_70_88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22" customHeight="1">
      <x:c r="A6" s="1"/>
      <x:c r="B6" s="1"/>
      <x:c r="C6" s="3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22" customHeight="1">
      <x:c r="A7" s="1"/>
      <x:c r="B7" s="1"/>
      <x:c r="C7" s="3" t="str">
        <x:v>Central project NPV</x:v>
      </x:c>
      <x:c r="D7" s="4" t="n">
        <x:f>'Finance'!D43</x:f>
        <x:v>0.5729881514699462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22" customHeight="1">
      <x:c r="A8" s="1"/>
      <x:c r="B8" s="1"/>
      <x:c r="C8" s="3" t="str">
        <x:v>Held-out mean NPV</x:v>
      </x:c>
      <x:c r="D8" s="4" t="n">
        <x:f>INDEX('Ops Import'!$Q$5:$Q$18,'Finance'!D4)</x:f>
        <x:v>0.5090185115539975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22" customHeight="1">
      <x:c r="A9" s="1"/>
      <x:c r="B9" s="1"/>
      <x:c r="C9" s="3" t="str">
        <x:v>Held-out p10 NPV</x:v>
      </x:c>
      <x:c r="D9" s="4" t="n">
        <x:f>INDEX('Ops Import'!$R$5:$R$18,'Finance'!D4)</x:f>
        <x:v>-0.1605076098587704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22" customHeight="1">
      <x:c r="A10" s="1"/>
      <x:c r="B10" s="1"/>
      <x:c r="C10" s="3" t="str">
        <x:v>Central project IRR</x:v>
      </x:c>
      <x:c r="D10" s="15" t="n">
        <x:f>'Finance'!D44</x:f>
        <x:v>0.9255428331105541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22" customHeight="1">
      <x:c r="A11" s="1"/>
      <x:c r="B11" s="1"/>
      <x:c r="C11" s="3" t="str">
        <x:v>Year1 group operating profit</x:v>
      </x:c>
      <x:c r="D11" s="4" t="n">
        <x:f>'Finance'!E27</x:f>
        <x:v>4.57557157625012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22" customHeight="1">
      <x:c r="A12" s="1"/>
      <x:c r="B12" s="1"/>
      <x:c r="C12" s="3" t="str">
        <x:v>Annual group-profit growth gate</x:v>
      </x:c>
      <x:c r="D12" s="4" t="str">
        <x:f>'Finance'!D48</x:f>
        <x:v>FAIL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22" customHeight="1">
      <x:c r="A13" s="1"/>
      <x:c r="B13" s="1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22" customHeight="1">
      <x:c r="A14" s="1"/>
      <x:c r="B14" s="1"/>
      <x:c r="C14" s="3" t="str">
        <x:v>No national rollout passes the central annual-profit-growth requirement.</x:v>
      </x:c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22" customHeight="1">
      <x:c r="A15" s="1"/>
      <x:c r="B15" s="1"/>
      <x:c r="C15" s="3" t="str">
        <x:v>Detailed street GIS acquisition remains partial; regional layers are a labelled corridor fallback.</x:v>
      </x:c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22" customHeight="1">
      <x:c r="A16" s="1"/>
      <x:c r="B16" s="1"/>
      <x:c r="C16" s="3" t="str">
        <x:v>Rules are a close challenger. Software and targeted upgrades require operating evidence before commitment.</x:v>
      </x:c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22" customHeight="1">
      <x:c r="A17" s="1"/>
      <x:c r="B17" s="1"/>
      <x:c r="C17" s="3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32" customHeight="1">
      <x:c r="A18" s="1"/>
      <x:c r="B18" s="1"/>
      <x:c r="C18" s="13" t="str">
        <x:v>Policy</x:v>
      </x:c>
      <x:c r="D18" s="14" t="str">
        <x:v>Mean NPV</x:v>
      </x:c>
      <x:c r="E18" s="14" t="str">
        <x:v>p10 NPV</x:v>
      </x:c>
      <x:c r="F18" s="14" t="str">
        <x:v>p90 NPV</x:v>
      </x:c>
      <x:c r="G18" s="14" t="str">
        <x:v>Violation worlds</x:v>
      </x:c>
      <x:c r="H18" s="14" t="str">
        <x:v>Realised internal</x:v>
      </x:c>
      <x:c r="I18" s="14" t="str">
        <x:v>Mean capex</x:v>
      </x:c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3" t="str">
        <x:v>Current</x:v>
      </x:c>
      <x:c r="D19" s="4" t="n">
        <x:v>0</x:v>
      </x:c>
      <x:c r="E19" s="4" t="n">
        <x:v>0</x:v>
      </x:c>
      <x:c r="F19" s="4" t="n">
        <x:v>0</x:v>
      </x:c>
      <x:c r="G19" s="15" t="n">
        <x:v>0.0686</x:v>
      </x:c>
      <x:c r="H19" s="15" t="n">
        <x:v>0.49977711540604525</x:v>
      </x:c>
      <x:c r="I19" s="4" t="n">
        <x:v>0</x:v>
      </x:c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 t="str">
        <x:v>Rules 88%</x:v>
      </x:c>
      <x:c r="D20" s="4" t="n">
        <x:v>0.4685316542600356</x:v>
      </x:c>
      <x:c r="E20" s="4" t="n">
        <x:v>-0.2184664450340122</x:v>
      </x:c>
      <x:c r="F20" s="4" t="n">
        <x:v>1.3037776503483163</x:v>
      </x:c>
      <x:c r="G20" s="15" t="n">
        <x:v>0.0215</x:v>
      </x:c>
      <x:c r="H20" s="15" t="n">
        <x:v>0.5281227086531035</x:v>
      </x:c>
      <x:c r="I20" s="4" t="n">
        <x:v>0</x:v>
      </x:c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 t="str">
        <x:v>Software 88%</x:v>
      </x:c>
      <x:c r="D21" s="4" t="n">
        <x:v>0.5090185115539975</x:v>
      </x:c>
      <x:c r="E21" s="4" t="n">
        <x:v>-0.1605076098587704</x:v>
      </x:c>
      <x:c r="F21" s="4" t="n">
        <x:v>1.3080715233705507</x:v>
      </x:c>
      <x:c r="G21" s="15" t="n">
        <x:v>0.0179</x:v>
      </x:c>
      <x:c r="H21" s="15" t="n">
        <x:v>0.5367857444211924</x:v>
      </x:c>
      <x:c r="I21" s="4" t="n">
        <x:v>0.20440413618840925</x:v>
      </x:c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 t="str">
        <x:v>Software 100%</x:v>
      </x:c>
      <x:c r="D22" s="4" t="n">
        <x:v>1.0156906813788231</x:v>
      </x:c>
      <x:c r="E22" s="4" t="n">
        <x:v>0.25807868636316605</x:v>
      </x:c>
      <x:c r="F22" s="4" t="n">
        <x:v>1.8868416951634674</x:v>
      </x:c>
      <x:c r="G22" s="15" t="n">
        <x:v>0.2785</x:v>
      </x:c>
      <x:c r="H22" s="15" t="n">
        <x:v>0.5757259523226074</x:v>
      </x:c>
      <x:c r="I22" s="4" t="n">
        <x:v>0.20440413618840925</x:v>
      </x:c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 t="str">
        <x:v>Targeted</x:v>
      </x:c>
      <x:c r="D23" s="4" t="n">
        <x:v>0.3592273539904041</x:v>
      </x:c>
      <x:c r="E23" s="4" t="n">
        <x:v>-0.34823713533069267</x:v>
      </x:c>
      <x:c r="F23" s="4" t="n">
        <x:v>1.1291271577568522</x:v>
      </x:c>
      <x:c r="G23" s="15" t="n">
        <x:v>0.0607</x:v>
      </x:c>
      <x:c r="H23" s="15" t="n">
        <x:v>0.61666026287936</x:v>
      </x:c>
      <x:c r="I23" s="4" t="n">
        <x:v>1.169645890411453</x:v>
      </x:c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 t="str">
        <x:v>Large</x:v>
      </x:c>
      <x:c r="D24" s="4" t="n">
        <x:v>-3.219809643804043</x:v>
      </x:c>
      <x:c r="E24" s="4" t="n">
        <x:v>-4.1186893885249685</x:v>
      </x:c>
      <x:c r="F24" s="4" t="n">
        <x:v>-2.3621433846778523</x:v>
      </x:c>
      <x:c r="G24" s="15" t="n">
        <x:v>0.006</x:v>
      </x:c>
      <x:c r="H24" s="15" t="n">
        <x:v>0.6754203590459762</x:v>
      </x:c>
      <x:c r="I24" s="4" t="n">
        <x:v>4.292486859956595</x:v>
      </x:c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21" t="str">
        <x:v>Rp tn unless stated. Percentages in policy labels are capacity-buffer settings.</x:v>
      </x:c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21" t="str">
        <x:v>Year 1 savings do not prove positive group-profit growth. Percentiles reflect authored distributions.</x:v>
      </x:c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conditionalFormatting sqref="D12:D12">
    <x:cfRule type="containsText" dxfId="2" priority="1" operator="containsText" text="FAIL"/>
  </x:conditionalFormatting>
  <x:pageMargins left="0.7" right="0.7" top="0.75" bottom="0.75" header="0.3" footer="0.3"/>
  <x:drawing xmlns:r="http://schemas.openxmlformats.org/officeDocument/2006/relationships" r:id="Rf89102f099284808"/>
</x:worksheet>
</file>

<file path=xl/worksheets/sheet2.xml><?xml version="1.0" encoding="utf-8"?>
<x:worksheet xmlns:x="http://schemas.openxmlformats.org/spreadsheetml/2006/main">
  <x:sheetPr>
    <x:tabColor rgb="FF315F83"/>
  </x:sheetPr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29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Incremental project cash flow and annual profit gate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3" t="str">
        <x:v>Policy selector</x:v>
      </x:c>
      <x:c r="D4" s="25" t="n">
        <x:v>11</x:v>
      </x:c>
      <x:c r="E4" s="4"/>
      <x:c r="F4" s="29" t="str">
        <x:f>INDEX('Ops Import'!$C$5:$C$18,$D$4)</x:f>
        <x:v>P_SOFTWARE_70_88</x:v>
      </x:c>
      <x:c r="G4" s="30"/>
      <x:c r="H4" s="30"/>
      <x:c r="I4" s="30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22" customHeight="1">
      <x:c r="A5" s="1"/>
      <x:c r="B5" s="1"/>
      <x:c r="C5" s="3" t="str">
        <x:v>Nominal IDR discount rate</x:v>
      </x:c>
      <x:c r="D5" s="26" t="n">
        <x:v>0.14</x:v>
      </x:c>
      <x:c r="E5" s="4"/>
      <x:c r="F5" s="4"/>
      <x:c r="G5" s="4" t="str">
        <x:v>Software initial capex</x:v>
      </x:c>
      <x:c r="H5" s="28" t="n">
        <x:f>INDEX('Ops Import'!$G$5:$G$18,$D$4)*$D$10</x:f>
        <x:v>0.18</x:v>
      </x:c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22" customHeight="1">
      <x:c r="A6" s="1"/>
      <x:c r="B6" s="1"/>
      <x:c r="C6" s="3" t="str">
        <x:v>Evaluation horizon</x:v>
      </x:c>
      <x:c r="D6" s="25" t="n">
        <x:v>5</x:v>
      </x:c>
      <x:c r="E6" s="4"/>
      <x:c r="F6" s="4"/>
      <x:c r="G6" s="4" t="str">
        <x:v>Physical initial capex</x:v>
      </x:c>
      <x:c r="H6" s="28" t="n">
        <x:f>INDEX('Ops Import'!$H$5:$H$18,$D$4)*$D$10</x:f>
        <x:v>0</x:v>
      </x:c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22" customHeight="1">
      <x:c r="A7" s="1"/>
      <x:c r="B7" s="1"/>
      <x:c r="C7" s="3" t="str">
        <x:v>Tax rate</x:v>
      </x:c>
      <x:c r="D7" s="26" t="n">
        <x:v>0.22</x:v>
      </x:c>
      <x:c r="E7" s="4"/>
      <x:c r="F7" s="4"/>
      <x:c r="G7" s="4" t="str">
        <x:v>Transition expense</x:v>
      </x:c>
      <x:c r="H7" s="28" t="n">
        <x:f>INDEX('Ops Import'!$I$5:$I$18,$D$4)*$D$10</x:f>
        <x:v>0.06</x:v>
      </x:c>
      <x:c r="I7" s="4"/>
      <x:c r="J7" s="18" t="str">
        <x:v>Blue / amber cells are editable.</x:v>
      </x:c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22" customHeight="1">
      <x:c r="A8" s="1"/>
      <x:c r="B8" s="1"/>
      <x:c r="C8" s="3" t="str">
        <x:v>Nominal logistics inflation</x:v>
      </x:c>
      <x:c r="D8" s="26" t="n">
        <x:v>0.025</x:v>
      </x:c>
      <x:c r="E8" s="4"/>
      <x:c r="F8" s="4"/>
      <x:c r="G8" s="4" t="str">
        <x:v>Initial working capital</x:v>
      </x:c>
      <x:c r="H8" s="17" t="n">
        <x:f>H5*0.01+H6*0.02</x:f>
        <x:v>0.0018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22" customHeight="1">
      <x:c r="A9" s="1"/>
      <x:c r="B9" s="1"/>
      <x:c r="C9" s="3" t="str">
        <x:v>Other net OP increase per year</x:v>
      </x:c>
      <x:c r="D9" s="24" t="n">
        <x:v>0</x:v>
      </x:c>
      <x:c r="E9" s="4"/>
      <x:c r="F9" s="4"/>
      <x:c r="G9" s="4" t="str">
        <x:v>Import reference inflation</x:v>
      </x:c>
      <x:c r="H9" s="28" t="n">
        <x:f>'Ops Import'!D3</x:f>
        <x:v>0.025</x:v>
      </x:c>
      <x:c r="I9" s="4"/>
      <x:c r="J9" s="18" t="str">
        <x:v>Operating allocations remain imported.</x:v>
      </x:c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22" customHeight="1">
      <x:c r="A10" s="1"/>
      <x:c r="B10" s="1"/>
      <x:c r="C10" s="3" t="str">
        <x:v>Implementation cost multiplier</x:v>
      </x:c>
      <x:c r="D10" s="27" t="n">
        <x:v>1</x:v>
      </x:c>
      <x:c r="E10" s="4"/>
      <x:c r="F10" s="4"/>
      <x:c r="G10" s="4" t="str">
        <x:v>Starting group OP</x:v>
      </x:c>
      <x:c r="H10" s="28" t="n">
        <x:f>'Case Facts'!D12</x:f>
        <x:v>5</x:v>
      </x:c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22" customHeight="1">
      <x:c r="A11" s="1"/>
      <x:c r="B11" s="1"/>
      <x:c r="C11" s="3" t="str">
        <x:v>Operating benefit multiplier</x:v>
      </x:c>
      <x:c r="D11" s="27" t="n">
        <x:v>1</x:v>
      </x:c>
      <x:c r="E11" s="4"/>
      <x:c r="F11" s="4"/>
      <x:c r="G11" s="4" t="str">
        <x:v>Software economic life</x:v>
      </x:c>
      <x:c r="H11" s="25" t="n">
        <x:v>4</x:v>
      </x:c>
      <x:c r="I11" s="4"/>
      <x:c r="J11" s="18" t="str">
        <x:v>Cash flows are unlevered, Rp tn.</x:v>
      </x:c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22" customHeight="1">
      <x:c r="A12" s="1"/>
      <x:c r="B12" s="1"/>
      <x:c r="C12" s="3" t="str">
        <x:v>Physical book-value recovery</x:v>
      </x:c>
      <x:c r="D12" s="26" t="n">
        <x:v>0.35</x:v>
      </x:c>
      <x:c r="E12" s="4"/>
      <x:c r="F12" s="4"/>
      <x:c r="G12" s="4" t="str">
        <x:v>Vehicle life</x:v>
      </x:c>
      <x:c r="H12" s="25" t="n">
        <x:v>5</x:v>
      </x:c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22" customHeight="1">
      <x:c r="A13" s="1"/>
      <x:c r="B13" s="1"/>
      <x:c r="C13" s="3"/>
      <x:c r="D13" s="4"/>
      <x:c r="E13" s="4"/>
      <x:c r="F13" s="4"/>
      <x:c r="G13" s="4" t="str">
        <x:v>Sortation life</x:v>
      </x:c>
      <x:c r="H13" s="25" t="n">
        <x:v>8</x:v>
      </x:c>
      <x:c r="I13" s="4"/>
      <x:c r="J13" s="18" t="str">
        <x:v>Positive NPV does not override failed annual OP growth.</x:v>
      </x:c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22" customHeight="1">
      <x:c r="A14" s="1"/>
      <x:c r="B14" s="1"/>
      <x:c r="C14" s="3"/>
      <x:c r="D14" s="4"/>
      <x:c r="E14" s="4"/>
      <x:c r="F14" s="4"/>
      <x:c r="G14" s="4" t="str">
        <x:v>Leasehold life</x:v>
      </x:c>
      <x:c r="H14" s="25" t="n">
        <x:v>10</x:v>
      </x:c>
      <x:c r="I14" s="4"/>
      <x:c r="J14" s="4"/>
      <x:c r="K14" s="4"/>
      <x:c r="L14" s="4"/>
      <x:c r="M14" s="4"/>
      <x:c r="N14" s="4" t="str">
        <x:v>NPV sensitivity: capex multiple vs discount</x:v>
      </x:c>
      <x:c r="O14" s="4"/>
      <x:c r="P14" s="4"/>
      <x:c r="Q14" s="4"/>
      <x:c r="R14" s="4"/>
      <x:c r="S14" s="4"/>
      <x:c r="T14" s="4"/>
      <x:c r="U14" s="4"/>
      <x:c r="V14" s="4"/>
    </x:row>
    <x:row r="15" ht="22" customHeight="1">
      <x:c r="A15" s="1"/>
      <x:c r="B15" s="1"/>
      <x:c r="C15" s="3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 t="str">
        <x:v>Native two-input Excel data table</x:v>
      </x:c>
      <x:c r="O15" s="4"/>
      <x:c r="P15" s="4"/>
      <x:c r="Q15" s="4"/>
      <x:c r="R15" s="4"/>
      <x:c r="S15" s="4"/>
      <x:c r="T15" s="4"/>
      <x:c r="U15" s="4"/>
      <x:c r="V15" s="4"/>
    </x:row>
    <x:row r="16" ht="32" customHeight="1">
      <x:c r="A16" s="1"/>
      <x:c r="B16" s="1"/>
      <x:c r="C16" s="13" t="str">
        <x:v>Model year</x:v>
      </x:c>
      <x:c r="D16" s="31" t="n">
        <x:v>0</x:v>
      </x:c>
      <x:c r="E16" s="31" t="n">
        <x:v>1</x:v>
      </x:c>
      <x:c r="F16" s="31" t="n">
        <x:v>2</x:v>
      </x:c>
      <x:c r="G16" s="31" t="n">
        <x:v>3</x:v>
      </x:c>
      <x:c r="H16" s="31" t="n">
        <x:v>4</x:v>
      </x:c>
      <x:c r="I16" s="31" t="n">
        <x:v>5</x:v>
      </x:c>
      <x:c r="J16" s="31" t="n">
        <x:v>6</x:v>
      </x:c>
      <x:c r="K16" s="31" t="n">
        <x:v>7</x:v>
      </x:c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22" customHeight="1">
      <x:c r="A17" s="1"/>
      <x:c r="B17" s="1"/>
      <x:c r="C17" s="3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17" t="n">
        <x:f>D43</x:f>
        <x:v>0.5729881514699462</x:v>
      </x:c>
      <x:c r="O17" s="15" t="n">
        <x:v>0.11</x:v>
      </x:c>
      <x:c r="P17" s="15" t="n">
        <x:v>0.14</x:v>
      </x:c>
      <x:c r="Q17" s="15" t="n">
        <x:v>0.18</x:v>
      </x:c>
      <x:c r="R17" s="4"/>
      <x:c r="S17" s="4"/>
      <x:c r="T17" s="4"/>
      <x:c r="U17" s="4"/>
      <x:c r="V17" s="4"/>
    </x:row>
    <x:row r="18" ht="22" customHeight="1">
      <x:c r="A18" s="1"/>
      <x:c r="B18" s="1"/>
      <x:c r="C18" s="3" t="str">
        <x:v>National annual workload, bn</x:v>
      </x:c>
      <x:c r="D18" s="4" t="n">
        <x:v>0</x:v>
      </x:c>
      <x:c r="E18" s="28" t="n">
        <x:f>IF(E$16&lt;=$D$6,'Case Facts'!$D$8,0)</x:f>
        <x:v>2</x:v>
      </x:c>
      <x:c r="F18" s="28" t="n">
        <x:f>IF(F$16&lt;=$D$6,'Case Facts'!$D$8,0)</x:f>
        <x:v>2</x:v>
      </x:c>
      <x:c r="G18" s="28" t="n">
        <x:f>IF(G$16&lt;=$D$6,'Case Facts'!$D$8,0)</x:f>
        <x:v>2</x:v>
      </x:c>
      <x:c r="H18" s="28" t="n">
        <x:f>IF(H$16&lt;=$D$6,'Case Facts'!$D$8,0)</x:f>
        <x:v>2</x:v>
      </x:c>
      <x:c r="I18" s="28" t="n">
        <x:f>IF(I$16&lt;=$D$6,'Case Facts'!$D$8,0)</x:f>
        <x:v>2</x:v>
      </x:c>
      <x:c r="J18" s="28" t="n">
        <x:f>IF(J$16&lt;=$D$6,'Case Facts'!$D$8,0)</x:f>
        <x:v>0</x:v>
      </x:c>
      <x:c r="K18" s="28" t="n">
        <x:f>IF(K$16&lt;=$D$6,'Case Facts'!$D$8,0)</x:f>
        <x:v>0</x:v>
      </x:c>
      <x:c r="L18" s="4"/>
      <x:c r="M18" s="4"/>
      <x:c r="N18" s="42" t="n">
        <x:v>0.8</x:v>
      </x:c>
      <x:c r="O18" s="4" t="n">
        <x:f t="dataTable" ref="O18:Q20" dt2D="1" r1="D5" r2="D10"/>
        <x:v>0.6872842776609</x:v>
      </x:c>
      <x:c r="P18" s="4" t="n">
        <x:v>0.6210483492482</x:v>
      </x:c>
      <x:c r="Q18" s="4" t="n">
        <x:v>0.5442478094539</x:v>
      </x:c>
      <x:c r="R18" s="4"/>
      <x:c r="S18" s="4"/>
      <x:c r="T18" s="4"/>
      <x:c r="U18" s="4"/>
      <x:c r="V18" s="4"/>
    </x:row>
    <x:row r="19" ht="22" customHeight="1">
      <x:c r="A19" s="1"/>
      <x:c r="B19" s="1"/>
      <x:c r="C19" s="3" t="str">
        <x:v>Matched current logistics cost</x:v>
      </x:c>
      <x:c r="D19" s="4" t="n">
        <x:v>0</x:v>
      </x:c>
      <x:c r="E19" s="28" t="n">
        <x:f>IF(E$16&lt;=$D$6,'Case Facts'!$D$19*(1+$D$8)^E$16,0)</x:f>
        <x:v>20.5</x:v>
      </x:c>
      <x:c r="F19" s="28" t="n">
        <x:f>IF(F$16&lt;=$D$6,'Case Facts'!$D$19*(1+$D$8)^F$16,0)</x:f>
        <x:v>21.0125</x:v>
      </x:c>
      <x:c r="G19" s="28" t="n">
        <x:f>IF(G$16&lt;=$D$6,'Case Facts'!$D$19*(1+$D$8)^G$16,0)</x:f>
        <x:v>21.537812499999994</x:v>
      </x:c>
      <x:c r="H19" s="28" t="n">
        <x:f>IF(H$16&lt;=$D$6,'Case Facts'!$D$19*(1+$D$8)^H$16,0)</x:f>
        <x:v>22.07625781249999</x:v>
      </x:c>
      <x:c r="I19" s="28" t="n">
        <x:f>IF(I$16&lt;=$D$6,'Case Facts'!$D$19*(1+$D$8)^I$16,0)</x:f>
        <x:v>22.62816425781249</x:v>
      </x:c>
      <x:c r="J19" s="28" t="n">
        <x:f>IF(J$16&lt;=$D$6,'Case Facts'!$D$19*(1+$D$8)^J$16,0)</x:f>
        <x:v>0</x:v>
      </x:c>
      <x:c r="K19" s="28" t="n">
        <x:f>IF(K$16&lt;=$D$6,'Case Facts'!$D$19*(1+$D$8)^K$16,0)</x:f>
        <x:v>0</x:v>
      </x:c>
      <x:c r="L19" s="4"/>
      <x:c r="M19" s="4"/>
      <x:c r="N19" s="42" t="n">
        <x:v>1</x:v>
      </x:c>
      <x:c r="O19" s="4" t="n">
        <x:v>0.6381555895972</x:v>
      </x:c>
      <x:c r="P19" s="4" t="n">
        <x:v>0.5729881514699</x:v>
      </x:c>
      <x:c r="Q19" s="4" t="n">
        <x:v>0.4973814459984</x:v>
      </x:c>
      <x:c r="R19" s="4"/>
      <x:c r="S19" s="4"/>
      <x:c r="T19" s="4"/>
      <x:c r="U19" s="4"/>
      <x:c r="V19" s="4"/>
    </x:row>
    <x:row r="20" ht="22" customHeight="1">
      <x:c r="A20" s="1"/>
      <x:c r="B20" s="1"/>
      <x:c r="C20" s="3" t="str">
        <x:v>Net operating cost reduction</x:v>
      </x:c>
      <x:c r="D20" s="4" t="n">
        <x:v>0</x:v>
      </x:c>
      <x:c r="E20" s="28" t="n">
        <x:f>IF(E$16&lt;=$D$6,INDEX('Ops Import'!$J$5:$P$18,$D$4,E$16)*(1+$D$8)^E$16*$D$11,0)</x:f>
        <x:v>0.15807157625011925</x:v>
      </x:c>
      <x:c r="F20" s="28" t="n">
        <x:f>IF(F$16&lt;=$D$6,INDEX('Ops Import'!$J$5:$P$18,$D$4,F$16)*(1+$D$8)^F$16*$D$11,0)</x:f>
        <x:v>0.3125704607093027</x:v>
      </x:c>
      <x:c r="G20" s="28" t="n">
        <x:f>IF(G$16&lt;=$D$6,INDEX('Ops Import'!$J$5:$P$18,$D$4,G$16)*(1+$D$8)^G$16*$D$11,0)</x:f>
        <x:v>0.36306465609769134</x:v>
      </x:c>
      <x:c r="H20" s="28" t="n">
        <x:f>IF(H$16&lt;=$D$6,INDEX('Ops Import'!$J$5:$P$18,$D$4,H$16)*(1+$D$8)^H$16*$D$11,0)</x:f>
        <x:v>0.37214127250013007</x:v>
      </x:c>
      <x:c r="I20" s="28" t="n">
        <x:f>IF(I$16&lt;=$D$6,INDEX('Ops Import'!$J$5:$P$18,$D$4,I$16)*(1+$D$8)^I$16*$D$11,0)</x:f>
        <x:v>0.38144480431263617</x:v>
      </x:c>
      <x:c r="J20" s="28" t="n">
        <x:f>IF(J$16&lt;=$D$6,INDEX('Ops Import'!$J$5:$P$18,$D$4,J$16)*(1+$D$8)^J$16*$D$11,0)</x:f>
        <x:v>0</x:v>
      </x:c>
      <x:c r="K20" s="28" t="n">
        <x:f>IF(K$16&lt;=$D$6,INDEX('Ops Import'!$J$5:$P$18,$D$4,K$16)*(1+$D$8)^K$16*$D$11,0)</x:f>
        <x:v>0</x:v>
      </x:c>
      <x:c r="L20" s="4"/>
      <x:c r="M20" s="4"/>
      <x:c r="N20" s="42" t="n">
        <x:v>1.6</x:v>
      </x:c>
      <x:c r="O20" s="4" t="n">
        <x:v>0.490769525406</x:v>
      </x:c>
      <x:c r="P20" s="4" t="n">
        <x:v>0.4288075581352</x:v>
      </x:c>
      <x:c r="Q20" s="4" t="n">
        <x:v>0.3567823556317</x:v>
      </x:c>
      <x:c r="R20" s="4"/>
      <x:c r="S20" s="4"/>
      <x:c r="T20" s="4"/>
      <x:c r="U20" s="4"/>
      <x:c r="V20" s="4"/>
    </x:row>
    <x:row r="21" ht="22" customHeight="1">
      <x:c r="A21" s="1"/>
      <x:c r="B21" s="1"/>
      <x:c r="C21" s="3" t="str">
        <x:v>Transition cash expense</x:v>
      </x:c>
      <x:c r="D21" s="4" t="n">
        <x:v>0</x:v>
      </x:c>
      <x:c r="E21" s="17" t="n">
        <x:f>IF(AND(E$16&lt;=$D$6,E$16=1),$H$7,0)</x:f>
        <x:v>0.06</x:v>
      </x:c>
      <x:c r="F21" s="17" t="n">
        <x:f>IF(AND(F$16&lt;=$D$6,F$16=1),$H$7,0)</x:f>
        <x:v>0</x:v>
      </x:c>
      <x:c r="G21" s="17" t="n">
        <x:f>IF(AND(G$16&lt;=$D$6,G$16=1),$H$7,0)</x:f>
        <x:v>0</x:v>
      </x:c>
      <x:c r="H21" s="17" t="n">
        <x:f>IF(AND(H$16&lt;=$D$6,H$16=1),$H$7,0)</x:f>
        <x:v>0</x:v>
      </x:c>
      <x:c r="I21" s="17" t="n">
        <x:f>IF(AND(I$16&lt;=$D$6,I$16=1),$H$7,0)</x:f>
        <x:v>0</x:v>
      </x:c>
      <x:c r="J21" s="17" t="n">
        <x:f>IF(AND(J$16&lt;=$D$6,J$16=1),$H$7,0)</x:f>
        <x:v>0</x:v>
      </x:c>
      <x:c r="K21" s="17" t="n">
        <x:f>IF(AND(K$16&lt;=$D$6,K$16=1),$H$7,0)</x:f>
        <x:v>0</x:v>
      </x:c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 t="str">
        <x:v>Software depreciation</x:v>
      </x:c>
      <x:c r="D22" s="4" t="n">
        <x:v>0</x:v>
      </x:c>
      <x:c r="E22" s="17" t="n">
        <x:f>IF(E$16&lt;=$D$6,$H$5*(MAX(MIN(E$16-1+0.5,$H$11)-MAX(MIN(E$16-1-0.5,$H$11),0),0)/$H$11)+$H$5*0.5*(MAX(MIN(E$16-5+0.5,$H$11)-MAX(MIN(E$16-5-0.5,$H$11),0),0)/$H$11),0)</x:f>
        <x:v>0.0225</x:v>
      </x:c>
      <x:c r="F22" s="17" t="n">
        <x:f>IF(F$16&lt;=$D$6,$H$5*(MAX(MIN(F$16-1+0.5,$H$11)-MAX(MIN(F$16-1-0.5,$H$11),0),0)/$H$11)+$H$5*0.5*(MAX(MIN(F$16-5+0.5,$H$11)-MAX(MIN(F$16-5-0.5,$H$11),0),0)/$H$11),0)</x:f>
        <x:v>0.045</x:v>
      </x:c>
      <x:c r="G22" s="17" t="n">
        <x:f>IF(G$16&lt;=$D$6,$H$5*(MAX(MIN(G$16-1+0.5,$H$11)-MAX(MIN(G$16-1-0.5,$H$11),0),0)/$H$11)+$H$5*0.5*(MAX(MIN(G$16-5+0.5,$H$11)-MAX(MIN(G$16-5-0.5,$H$11),0),0)/$H$11),0)</x:f>
        <x:v>0.045</x:v>
      </x:c>
      <x:c r="H22" s="17" t="n">
        <x:f>IF(H$16&lt;=$D$6,$H$5*(MAX(MIN(H$16-1+0.5,$H$11)-MAX(MIN(H$16-1-0.5,$H$11),0),0)/$H$11)+$H$5*0.5*(MAX(MIN(H$16-5+0.5,$H$11)-MAX(MIN(H$16-5-0.5,$H$11),0),0)/$H$11),0)</x:f>
        <x:v>0.045</x:v>
      </x:c>
      <x:c r="I22" s="17" t="n">
        <x:f>IF(I$16&lt;=$D$6,$H$5*(MAX(MIN(I$16-1+0.5,$H$11)-MAX(MIN(I$16-1-0.5,$H$11),0),0)/$H$11)+$H$5*0.5*(MAX(MIN(I$16-5+0.5,$H$11)-MAX(MIN(I$16-5-0.5,$H$11),0),0)/$H$11),0)</x:f>
        <x:v>0.03375</x:v>
      </x:c>
      <x:c r="J22" s="17" t="n">
        <x:f>IF(J$16&lt;=$D$6,$H$5*(MAX(MIN(J$16-1+0.5,$H$11)-MAX(MIN(J$16-1-0.5,$H$11),0),0)/$H$11)+$H$5*0.5*(MAX(MIN(J$16-5+0.5,$H$11)-MAX(MIN(J$16-5-0.5,$H$11),0),0)/$H$11),0)</x:f>
        <x:v>0</x:v>
      </x:c>
      <x:c r="K22" s="17" t="n">
        <x:f>IF(K$16&lt;=$D$6,$H$5*(MAX(MIN(K$16-1+0.5,$H$11)-MAX(MIN(K$16-1-0.5,$H$11),0),0)/$H$11)+$H$5*0.5*(MAX(MIN(K$16-5+0.5,$H$11)-MAX(MIN(K$16-5-0.5,$H$11),0),0)/$H$11),0)</x:f>
        <x:v>0</x:v>
      </x:c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 t="str">
        <x:v>Physical depreciation</x:v>
      </x:c>
      <x:c r="D23" s="4" t="n">
        <x:v>0</x:v>
      </x:c>
      <x:c r="E23" s="17" t="n">
        <x:f>IF(E$16&lt;=$D$6,$H$6*(0.3*(MAX(MIN(E$16-1+0.5,$H$12)-MAX(MIN(E$16-1-0.5,$H$12),0),0)/$H$12)+0.4*(MAX(MIN(E$16-1+0.5,$H$13)-MAX(MIN(E$16-1-0.5,$H$13),0),0)/$H$13)+0.3*(MAX(MIN(E$16-1+0.5,$H$14)-MAX(MIN(E$16-1-0.5,$H$14),0),0)/$H$14))+$H$6*0.3*(MAX(MIN(E$16-6+0.5,$H$12)-MAX(MIN(E$16-6-0.5,$H$12),0),0)/$H$12),0)</x:f>
        <x:v>0</x:v>
      </x:c>
      <x:c r="F23" s="17" t="n">
        <x:f>IF(F$16&lt;=$D$6,$H$6*(0.3*(MAX(MIN(F$16-1+0.5,$H$12)-MAX(MIN(F$16-1-0.5,$H$12),0),0)/$H$12)+0.4*(MAX(MIN(F$16-1+0.5,$H$13)-MAX(MIN(F$16-1-0.5,$H$13),0),0)/$H$13)+0.3*(MAX(MIN(F$16-1+0.5,$H$14)-MAX(MIN(F$16-1-0.5,$H$14),0),0)/$H$14))+$H$6*0.3*(MAX(MIN(F$16-6+0.5,$H$12)-MAX(MIN(F$16-6-0.5,$H$12),0),0)/$H$12),0)</x:f>
        <x:v>0</x:v>
      </x:c>
      <x:c r="G23" s="17" t="n">
        <x:f>IF(G$16&lt;=$D$6,$H$6*(0.3*(MAX(MIN(G$16-1+0.5,$H$12)-MAX(MIN(G$16-1-0.5,$H$12),0),0)/$H$12)+0.4*(MAX(MIN(G$16-1+0.5,$H$13)-MAX(MIN(G$16-1-0.5,$H$13),0),0)/$H$13)+0.3*(MAX(MIN(G$16-1+0.5,$H$14)-MAX(MIN(G$16-1-0.5,$H$14),0),0)/$H$14))+$H$6*0.3*(MAX(MIN(G$16-6+0.5,$H$12)-MAX(MIN(G$16-6-0.5,$H$12),0),0)/$H$12),0)</x:f>
        <x:v>0</x:v>
      </x:c>
      <x:c r="H23" s="17" t="n">
        <x:f>IF(H$16&lt;=$D$6,$H$6*(0.3*(MAX(MIN(H$16-1+0.5,$H$12)-MAX(MIN(H$16-1-0.5,$H$12),0),0)/$H$12)+0.4*(MAX(MIN(H$16-1+0.5,$H$13)-MAX(MIN(H$16-1-0.5,$H$13),0),0)/$H$13)+0.3*(MAX(MIN(H$16-1+0.5,$H$14)-MAX(MIN(H$16-1-0.5,$H$14),0),0)/$H$14))+$H$6*0.3*(MAX(MIN(H$16-6+0.5,$H$12)-MAX(MIN(H$16-6-0.5,$H$12),0),0)/$H$12),0)</x:f>
        <x:v>0</x:v>
      </x:c>
      <x:c r="I23" s="17" t="n">
        <x:f>IF(I$16&lt;=$D$6,$H$6*(0.3*(MAX(MIN(I$16-1+0.5,$H$12)-MAX(MIN(I$16-1-0.5,$H$12),0),0)/$H$12)+0.4*(MAX(MIN(I$16-1+0.5,$H$13)-MAX(MIN(I$16-1-0.5,$H$13),0),0)/$H$13)+0.3*(MAX(MIN(I$16-1+0.5,$H$14)-MAX(MIN(I$16-1-0.5,$H$14),0),0)/$H$14))+$H$6*0.3*(MAX(MIN(I$16-6+0.5,$H$12)-MAX(MIN(I$16-6-0.5,$H$12),0),0)/$H$12),0)</x:f>
        <x:v>0</x:v>
      </x:c>
      <x:c r="J23" s="17" t="n">
        <x:f>IF(J$16&lt;=$D$6,$H$6*(0.3*(MAX(MIN(J$16-1+0.5,$H$12)-MAX(MIN(J$16-1-0.5,$H$12),0),0)/$H$12)+0.4*(MAX(MIN(J$16-1+0.5,$H$13)-MAX(MIN(J$16-1-0.5,$H$13),0),0)/$H$13)+0.3*(MAX(MIN(J$16-1+0.5,$H$14)-MAX(MIN(J$16-1-0.5,$H$14),0),0)/$H$14))+$H$6*0.3*(MAX(MIN(J$16-6+0.5,$H$12)-MAX(MIN(J$16-6-0.5,$H$12),0),0)/$H$12),0)</x:f>
        <x:v>0</x:v>
      </x:c>
      <x:c r="K23" s="17" t="n">
        <x:f>IF(K$16&lt;=$D$6,$H$6*(0.3*(MAX(MIN(K$16-1+0.5,$H$12)-MAX(MIN(K$16-1-0.5,$H$12),0),0)/$H$12)+0.4*(MAX(MIN(K$16-1+0.5,$H$13)-MAX(MIN(K$16-1-0.5,$H$13),0),0)/$H$13)+0.3*(MAX(MIN(K$16-1+0.5,$H$14)-MAX(MIN(K$16-1-0.5,$H$14),0),0)/$H$14))+$H$6*0.3*(MAX(MIN(K$16-6+0.5,$H$12)-MAX(MIN(K$16-6-0.5,$H$12),0),0)/$H$12),0)</x:f>
        <x:v>0</x:v>
      </x:c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 t="str">
        <x:v>Total depreciation</x:v>
      </x:c>
      <x:c r="D24" s="4" t="n">
        <x:v>0</x:v>
      </x:c>
      <x:c r="E24" s="17" t="n">
        <x:f>SUM(E22:E23)</x:f>
        <x:v>0.0225</x:v>
      </x:c>
      <x:c r="F24" s="17" t="n">
        <x:f>SUM(F22:F23)</x:f>
        <x:v>0.045</x:v>
      </x:c>
      <x:c r="G24" s="17" t="n">
        <x:f>SUM(G22:G23)</x:f>
        <x:v>0.045</x:v>
      </x:c>
      <x:c r="H24" s="17" t="n">
        <x:f>SUM(H22:H23)</x:f>
        <x:v>0.045</x:v>
      </x:c>
      <x:c r="I24" s="17" t="n">
        <x:f>SUM(I22:I23)</x:f>
        <x:v>0.03375</x:v>
      </x:c>
      <x:c r="J24" s="17" t="n">
        <x:f>SUM(J22:J23)</x:f>
        <x:v>0</x:v>
      </x:c>
      <x:c r="K24" s="17" t="n">
        <x:f>SUM(K22:K23)</x:f>
        <x:v>0</x:v>
      </x:c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9" t="str">
        <x:v>Incremental operating profit</x:v>
      </x:c>
      <x:c r="D25" s="40" t="n">
        <x:v>0</x:v>
      </x:c>
      <x:c r="E25" s="41" t="n">
        <x:f>E20-E21-E24</x:f>
        <x:v>0.07557157625011926</x:v>
      </x:c>
      <x:c r="F25" s="41" t="n">
        <x:f>F20-F21-F24</x:f>
        <x:v>0.26757046070930274</x:v>
      </x:c>
      <x:c r="G25" s="41" t="n">
        <x:f>G20-G21-G24</x:f>
        <x:v>0.31806465609769136</x:v>
      </x:c>
      <x:c r="H25" s="41" t="n">
        <x:f>H20-H21-H24</x:f>
        <x:v>0.3271412725001301</x:v>
      </x:c>
      <x:c r="I25" s="41" t="n">
        <x:f>I20-I21-I24</x:f>
        <x:v>0.34769480431263616</x:v>
      </x:c>
      <x:c r="J25" s="41" t="n">
        <x:f>J20-J21-J24</x:f>
        <x:v>0</x:v>
      </x:c>
      <x:c r="K25" s="41" t="n">
        <x:f>K20-K21-K24</x:f>
        <x:v>0</x:v>
      </x:c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 t="str">
        <x:v>Matched current group OP</x:v>
      </x:c>
      <x:c r="D26" s="4" t="n">
        <x:v>0</x:v>
      </x:c>
      <x:c r="E26" s="28" t="n">
        <x:f>IF(E$16&lt;=$D$6,$H$10-(E19-'Case Facts'!$D$19)+E$16*$D$9,"")</x:f>
        <x:v>4.5</x:v>
      </x:c>
      <x:c r="F26" s="28" t="n">
        <x:f>IF(F$16&lt;=$D$6,$H$10-(F19-'Case Facts'!$D$19)+F$16*$D$9,"")</x:f>
        <x:v>3.9875000000000007</x:v>
      </x:c>
      <x:c r="G26" s="28" t="n">
        <x:f>IF(G$16&lt;=$D$6,$H$10-(G19-'Case Facts'!$D$19)+G$16*$D$9,"")</x:f>
        <x:v>3.462187500000006</x:v>
      </x:c>
      <x:c r="H26" s="28" t="n">
        <x:f>IF(H$16&lt;=$D$6,$H$10-(H19-'Case Facts'!$D$19)+H$16*$D$9,"")</x:f>
        <x:v>2.923742187500011</x:v>
      </x:c>
      <x:c r="I26" s="28" t="n">
        <x:f>IF(I$16&lt;=$D$6,$H$10-(I19-'Case Facts'!$D$19)+I$16*$D$9,"")</x:f>
        <x:v>2.3718357421875105</x:v>
      </x:c>
      <x:c r="J26" s="28" t="str">
        <x:f>IF(J$16&lt;=$D$6,$H$10-(J19-'Case Facts'!$D$19)+J$16*$D$9,"")</x:f>
      </x:c>
      <x:c r="K26" s="28" t="str">
        <x:f>IF(K$16&lt;=$D$6,$H$10-(K19-'Case Facts'!$D$19)+K$16*$D$9,"")</x:f>
      </x:c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9" t="str">
        <x:v>Policy group operating profit</x:v>
      </x:c>
      <x:c r="D27" s="40" t="n">
        <x:v>0</x:v>
      </x:c>
      <x:c r="E27" s="41" t="n">
        <x:f>IF(E$16&lt;=$D$6,E26+E25,"")</x:f>
        <x:v>4.57557157625012</x:v>
      </x:c>
      <x:c r="F27" s="41" t="n">
        <x:f>IF(F$16&lt;=$D$6,F26+F25,"")</x:f>
        <x:v>4.2550704607093035</x:v>
      </x:c>
      <x:c r="G27" s="41" t="n">
        <x:f>IF(G$16&lt;=$D$6,G26+G25,"")</x:f>
        <x:v>3.7802521560976974</x:v>
      </x:c>
      <x:c r="H27" s="41" t="n">
        <x:f>IF(H$16&lt;=$D$6,H26+H25,"")</x:f>
        <x:v>3.250883460000141</x:v>
      </x:c>
      <x:c r="I27" s="41" t="n">
        <x:f>IF(I$16&lt;=$D$6,I26+I25,"")</x:f>
        <x:v>2.7195305465001467</x:v>
      </x:c>
      <x:c r="J27" s="41" t="str">
        <x:f>IF(J$16&lt;=$D$6,J26+J25,"")</x:f>
      </x:c>
      <x:c r="K27" s="41" t="str">
        <x:f>IF(K$16&lt;=$D$6,K26+K25,"")</x:f>
      </x:c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 t="str">
        <x:v>Annual group OP change</x:v>
      </x:c>
      <x:c r="D28" s="4" t="n">
        <x:v>0</x:v>
      </x:c>
      <x:c r="E28" s="17" t="n">
        <x:f>IF(E$16&lt;=$D$6,E27-$H$10,"")</x:f>
        <x:v>-0.4244284237498803</x:v>
      </x:c>
      <x:c r="F28" s="17" t="n">
        <x:f>IF(F$16&lt;=$D$6,F27-E27,"")</x:f>
        <x:v>-0.3205011155408162</x:v>
      </x:c>
      <x:c r="G28" s="17" t="n">
        <x:f>IF(G$16&lt;=$D$6,G27-F27,"")</x:f>
        <x:v>-0.4748183046116061</x:v>
      </x:c>
      <x:c r="H28" s="17" t="n">
        <x:f>IF(H$16&lt;=$D$6,H27-G27,"")</x:f>
        <x:v>-0.5293686960975563</x:v>
      </x:c>
      <x:c r="I28" s="17" t="n">
        <x:f>IF(I$16&lt;=$D$6,I27-H27,"")</x:f>
        <x:v>-0.5313529134999944</x:v>
      </x:c>
      <x:c r="J28" s="17" t="str">
        <x:f>IF(J$16&lt;=$D$6,J27-I27,"")</x:f>
      </x:c>
      <x:c r="K28" s="17" t="str">
        <x:f>IF(K$16&lt;=$D$6,K27-J27,"")</x:f>
      </x:c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 t="str">
        <x:v>Annual group OP growth</x:v>
      </x:c>
      <x:c r="D29" s="4" t="n">
        <x:v>0</x:v>
      </x:c>
      <x:c r="E29" s="19" t="n">
        <x:f>IF(E$16&lt;=$D$6,IF($H$10=0,"n.a.",E28/$H$10),"")</x:f>
        <x:v>-0.08488568474997607</x:v>
      </x:c>
      <x:c r="F29" s="19" t="n">
        <x:f>IF(F$16&lt;=$D$6,IF(E27=0,"n.a.",F28/E27),"")</x:f>
        <x:v>-0.07004613744966937</x:v>
      </x:c>
      <x:c r="G29" s="19" t="n">
        <x:f>IF(G$16&lt;=$D$6,IF(F27=0,"n.a.",G28/F27),"")</x:f>
        <x:v>-0.11158882302796362</x:v>
      </x:c>
      <x:c r="H29" s="19" t="n">
        <x:f>IF(H$16&lt;=$D$6,IF(G27=0,"n.a.",H28/G27),"")</x:f>
        <x:v>-0.14003528712857516</x:v>
      </x:c>
      <x:c r="I29" s="19" t="n">
        <x:f>IF(I$16&lt;=$D$6,IF(H27=0,"n.a.",I28/H27),"")</x:f>
        <x:v>-0.16344877324515697</x:v>
      </x:c>
      <x:c r="J29" s="19" t="str">
        <x:f>IF(J$16&lt;=$D$6,IF(I27=0,"n.a.",J28/I27),"")</x:f>
      </x:c>
      <x:c r="K29" s="19" t="str">
        <x:f>IF(K$16&lt;=$D$6,IF(J27=0,"n.a.",K28/J27),"")</x:f>
      </x:c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 t="str">
        <x:v>Annual positive-growth test</x:v>
      </x:c>
      <x:c r="D30" s="4" t="n">
        <x:v>0</x:v>
      </x:c>
      <x:c r="E30" s="17" t="str">
        <x:f>IF(E$16&lt;=$D$6,IF(E28&gt;0,"PASS","FAIL"),"")</x:f>
        <x:v>FAIL</x:v>
      </x:c>
      <x:c r="F30" s="17" t="str">
        <x:f>IF(F$16&lt;=$D$6,IF(F28&gt;0,"PASS","FAIL"),"")</x:f>
        <x:v>FAIL</x:v>
      </x:c>
      <x:c r="G30" s="17" t="str">
        <x:f>IF(G$16&lt;=$D$6,IF(G28&gt;0,"PASS","FAIL"),"")</x:f>
        <x:v>FAIL</x:v>
      </x:c>
      <x:c r="H30" s="17" t="str">
        <x:f>IF(H$16&lt;=$D$6,IF(H28&gt;0,"PASS","FAIL"),"")</x:f>
        <x:v>FAIL</x:v>
      </x:c>
      <x:c r="I30" s="17" t="str">
        <x:f>IF(I$16&lt;=$D$6,IF(I28&gt;0,"PASS","FAIL"),"")</x:f>
        <x:v>FAIL</x:v>
      </x:c>
      <x:c r="J30" s="17" t="str">
        <x:f>IF(J$16&lt;=$D$6,IF(J28&gt;0,"PASS","FAIL"),"")</x:f>
      </x:c>
      <x:c r="K30" s="17" t="str">
        <x:f>IF(K$16&lt;=$D$6,IF(K28&gt;0,"PASS","FAIL"),"")</x:f>
      </x:c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 t="str">
        <x:v>Incremental EBITDA</x:v>
      </x:c>
      <x:c r="D31" s="4" t="n">
        <x:v>0</x:v>
      </x:c>
      <x:c r="E31" s="17" t="n">
        <x:f>E20-E21</x:f>
        <x:v>0.09807157625011925</x:v>
      </x:c>
      <x:c r="F31" s="17" t="n">
        <x:f>F20-F21</x:f>
        <x:v>0.3125704607093027</x:v>
      </x:c>
      <x:c r="G31" s="17" t="n">
        <x:f>G20-G21</x:f>
        <x:v>0.36306465609769134</x:v>
      </x:c>
      <x:c r="H31" s="17" t="n">
        <x:f>H20-H21</x:f>
        <x:v>0.37214127250013007</x:v>
      </x:c>
      <x:c r="I31" s="17" t="n">
        <x:f>I20-I21</x:f>
        <x:v>0.38144480431263617</x:v>
      </x:c>
      <x:c r="J31" s="17" t="n">
        <x:f>J20-J21</x:f>
        <x:v>0</x:v>
      </x:c>
      <x:c r="K31" s="17" t="n">
        <x:f>K20-K21</x:f>
        <x:v>0</x:v>
      </x:c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 t="str">
        <x:v>Incremental cash tax</x:v>
      </x:c>
      <x:c r="D32" s="4" t="n">
        <x:v>0</x:v>
      </x:c>
      <x:c r="E32" s="17" t="n">
        <x:f>MAX(E25,0)*$D$7</x:f>
        <x:v>0.016625746775026238</x:v>
      </x:c>
      <x:c r="F32" s="17" t="n">
        <x:f>MAX(F25,0)*$D$7</x:f>
        <x:v>0.0588655013560466</x:v>
      </x:c>
      <x:c r="G32" s="17" t="n">
        <x:f>MAX(G25,0)*$D$7</x:f>
        <x:v>0.0699742243414921</x:v>
      </x:c>
      <x:c r="H32" s="17" t="n">
        <x:f>MAX(H25,0)*$D$7</x:f>
        <x:v>0.07197107995002862</x:v>
      </x:c>
      <x:c r="I32" s="17" t="n">
        <x:f>MAX(I25,0)*$D$7</x:f>
        <x:v>0.07649285694877996</x:v>
      </x:c>
      <x:c r="J32" s="17" t="n">
        <x:f>MAX(J25,0)*$D$7</x:f>
        <x:v>0</x:v>
      </x:c>
      <x:c r="K32" s="17" t="n">
        <x:f>MAX(K25,0)*$D$7</x:f>
        <x:v>0</x:v>
      </x:c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 t="str">
        <x:v>Initial capital expenditure</x:v>
      </x:c>
      <x:c r="D33" s="17" t="n">
        <x:f>-SUM($H$5:$H$6)</x:f>
        <x:v>-0.18</x:v>
      </x:c>
      <x:c r="E33" s="4" t="n">
        <x:v>0</x:v>
      </x:c>
      <x:c r="F33" s="4" t="n">
        <x:v>0</x:v>
      </x:c>
      <x:c r="G33" s="4" t="n">
        <x:v>0</x:v>
      </x:c>
      <x:c r="H33" s="4" t="n">
        <x:v>0</x:v>
      </x:c>
      <x:c r="I33" s="4" t="n">
        <x:v>0</x:v>
      </x:c>
      <x:c r="J33" s="4" t="n">
        <x:v>0</x:v>
      </x:c>
      <x:c r="K33" s="4" t="n">
        <x:v>0</x:v>
      </x:c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 t="str">
        <x:v>Replacement expenditure</x:v>
      </x:c>
      <x:c r="D34" s="4" t="n">
        <x:v>0</x:v>
      </x:c>
      <x:c r="E34" s="17" t="n">
        <x:f>IF(E$16&lt;=$D$6,IF(E$16=5,-$H$5*0.5,0)+IF(E$16=6,-$H$6*0.3,0),0)</x:f>
        <x:v>0</x:v>
      </x:c>
      <x:c r="F34" s="17" t="n">
        <x:f>IF(F$16&lt;=$D$6,IF(F$16=5,-$H$5*0.5,0)+IF(F$16=6,-$H$6*0.3,0),0)</x:f>
        <x:v>0</x:v>
      </x:c>
      <x:c r="G34" s="17" t="n">
        <x:f>IF(G$16&lt;=$D$6,IF(G$16=5,-$H$5*0.5,0)+IF(G$16=6,-$H$6*0.3,0),0)</x:f>
        <x:v>0</x:v>
      </x:c>
      <x:c r="H34" s="17" t="n">
        <x:f>IF(H$16&lt;=$D$6,IF(H$16=5,-$H$5*0.5,0)+IF(H$16=6,-$H$6*0.3,0),0)</x:f>
        <x:v>0</x:v>
      </x:c>
      <x:c r="I34" s="17" t="n">
        <x:f>IF(I$16&lt;=$D$6,IF(I$16=5,-$H$5*0.5,0)+IF(I$16=6,-$H$6*0.3,0),0)</x:f>
        <x:v>-0.09</x:v>
      </x:c>
      <x:c r="J34" s="17" t="n">
        <x:f>IF(J$16&lt;=$D$6,IF(J$16=5,-$H$5*0.5,0)+IF(J$16=6,-$H$6*0.3,0),0)</x:f>
        <x:v>0</x:v>
      </x:c>
      <x:c r="K34" s="17" t="n">
        <x:f>IF(K$16&lt;=$D$6,IF(K$16=5,-$H$5*0.5,0)+IF(K$16=6,-$H$6*0.3,0),0)</x:f>
        <x:v>0</x:v>
      </x:c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 t="str">
        <x:v>Working-capital cash flow</x:v>
      </x:c>
      <x:c r="D35" s="17" t="n">
        <x:f>-$H$8</x:f>
        <x:v>-0.0018</x:v>
      </x:c>
      <x:c r="E35" s="17" t="n">
        <x:f>IF(E$16=$D$6,$H$8,0)</x:f>
        <x:v>0</x:v>
      </x:c>
      <x:c r="F35" s="17" t="n">
        <x:f>IF(F$16=$D$6,$H$8,0)</x:f>
        <x:v>0</x:v>
      </x:c>
      <x:c r="G35" s="17" t="n">
        <x:f>IF(G$16=$D$6,$H$8,0)</x:f>
        <x:v>0</x:v>
      </x:c>
      <x:c r="H35" s="17" t="n">
        <x:f>IF(H$16=$D$6,$H$8,0)</x:f>
        <x:v>0</x:v>
      </x:c>
      <x:c r="I35" s="17" t="n">
        <x:f>IF(I$16=$D$6,$H$8,0)</x:f>
        <x:v>0.0018</x:v>
      </x:c>
      <x:c r="J35" s="17" t="n">
        <x:f>IF(J$16=$D$6,$H$8,0)</x:f>
        <x:v>0</x:v>
      </x:c>
      <x:c r="K35" s="17" t="n">
        <x:f>IF(K$16=$D$6,$H$8,0)</x:f>
        <x:v>0</x:v>
      </x:c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 t="str">
        <x:v>Physical salvage proceeds</x:v>
      </x:c>
      <x:c r="D36" s="4" t="n">
        <x:v>0</x:v>
      </x:c>
      <x:c r="E36" s="17" t="n">
        <x:f>IF(E$16=$D$6,MAX($H$6+IF(E$16&gt;=6,$H$6*0.3,0)-SUM($E$23:E23),0)*$D$12,0)</x:f>
        <x:v>0</x:v>
      </x:c>
      <x:c r="F36" s="17" t="n">
        <x:f>IF(F$16=$D$6,MAX($H$6+IF(F$16&gt;=6,$H$6*0.3,0)-SUM($E$23:F23),0)*$D$12,0)</x:f>
        <x:v>0</x:v>
      </x:c>
      <x:c r="G36" s="17" t="n">
        <x:f>IF(G$16=$D$6,MAX($H$6+IF(G$16&gt;=6,$H$6*0.3,0)-SUM($E$23:G23),0)*$D$12,0)</x:f>
        <x:v>0</x:v>
      </x:c>
      <x:c r="H36" s="17" t="n">
        <x:f>IF(H$16=$D$6,MAX($H$6+IF(H$16&gt;=6,$H$6*0.3,0)-SUM($E$23:H23),0)*$D$12,0)</x:f>
        <x:v>0</x:v>
      </x:c>
      <x:c r="I36" s="17" t="n">
        <x:f>IF(I$16=$D$6,MAX($H$6+IF(I$16&gt;=6,$H$6*0.3,0)-SUM($E$23:I23),0)*$D$12,0)</x:f>
        <x:v>0</x:v>
      </x:c>
      <x:c r="J36" s="17" t="n">
        <x:f>IF(J$16=$D$6,MAX($H$6+IF(J$16&gt;=6,$H$6*0.3,0)-SUM($E$23:J23),0)*$D$12,0)</x:f>
        <x:v>0</x:v>
      </x:c>
      <x:c r="K36" s="17" t="n">
        <x:f>IF(K$16=$D$6,MAX($H$6+IF(K$16&gt;=6,$H$6*0.3,0)-SUM($E$23:K23),0)*$D$12,0)</x:f>
        <x:v>0</x:v>
      </x:c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9" t="str">
        <x:v>Unlevered project cash flow</x:v>
      </x:c>
      <x:c r="D37" s="41" t="n">
        <x:f>D31-D32+SUM(D33:D36)</x:f>
        <x:v>-0.1818</x:v>
      </x:c>
      <x:c r="E37" s="41" t="n">
        <x:f>E31-E32+SUM(E33:E36)</x:f>
        <x:v>0.08144582947509302</x:v>
      </x:c>
      <x:c r="F37" s="41" t="n">
        <x:f>F31-F32+SUM(F33:F36)</x:f>
        <x:v>0.2537049593532561</x:v>
      </x:c>
      <x:c r="G37" s="41" t="n">
        <x:f>G31-G32+SUM(G33:G36)</x:f>
        <x:v>0.29309043175619925</x:v>
      </x:c>
      <x:c r="H37" s="41" t="n">
        <x:f>H31-H32+SUM(H33:H36)</x:f>
        <x:v>0.30017019255010147</x:v>
      </x:c>
      <x:c r="I37" s="41" t="n">
        <x:f>I31-I32+SUM(I33:I36)</x:f>
        <x:v>0.21675194736385622</x:v>
      </x:c>
      <x:c r="J37" s="41" t="n">
        <x:f>J31-J32+SUM(J33:J36)</x:f>
        <x:v>0</x:v>
      </x:c>
      <x:c r="K37" s="41" t="n">
        <x:f>K31-K32+SUM(K33:K36)</x:f>
        <x:v>0</x:v>
      </x:c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 t="str">
        <x:v>Discount factor</x:v>
      </x:c>
      <x:c r="D38" s="32" t="n">
        <x:f>1/(1+$D$5)^D$16</x:f>
        <x:v>1</x:v>
      </x:c>
      <x:c r="E38" s="32" t="n">
        <x:f>1/(1+$D$5)^E$16</x:f>
        <x:v>0.8771929824561403</x:v>
      </x:c>
      <x:c r="F38" s="32" t="n">
        <x:f>1/(1+$D$5)^F$16</x:f>
        <x:v>0.7694675284702984</x:v>
      </x:c>
      <x:c r="G38" s="32" t="n">
        <x:f>1/(1+$D$5)^G$16</x:f>
        <x:v>0.6749715162020161</x:v>
      </x:c>
      <x:c r="H38" s="32" t="n">
        <x:f>1/(1+$D$5)^H$16</x:f>
        <x:v>0.5920802773701894</x:v>
      </x:c>
      <x:c r="I38" s="32" t="n">
        <x:f>1/(1+$D$5)^I$16</x:f>
        <x:v>0.5193686643598152</x:v>
      </x:c>
      <x:c r="J38" s="32" t="n">
        <x:f>1/(1+$D$5)^J$16</x:f>
        <x:v>0.45558654768404844</x:v>
      </x:c>
      <x:c r="K38" s="32" t="n">
        <x:f>1/(1+$D$5)^K$16</x:f>
        <x:v>0.39963732252986695</x:v>
      </x:c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 t="str">
        <x:v>Present value</x:v>
      </x:c>
      <x:c r="D39" s="17" t="n">
        <x:f>D37*D38</x:f>
        <x:v>-0.1818</x:v>
      </x:c>
      <x:c r="E39" s="17" t="n">
        <x:f>E37*E38</x:f>
        <x:v>0.07144371006587107</x:v>
      </x:c>
      <x:c r="F39" s="17" t="n">
        <x:f>F37*F38</x:f>
        <x:v>0.1952177280342075</x:v>
      </x:c>
      <x:c r="G39" s="17" t="n">
        <x:f>G37*G38</x:f>
        <x:v>0.19782769310678536</x:v>
      </x:c>
      <x:c r="H39" s="17" t="n">
        <x:f>H37*H38</x:f>
        <x:v>0.17772485086332723</x:v>
      </x:c>
      <x:c r="I39" s="17" t="n">
        <x:f>I37*I38</x:f>
        <x:v>0.11257416939975498</x:v>
      </x:c>
      <x:c r="J39" s="17" t="n">
        <x:f>J37*J38</x:f>
        <x:v>0</x:v>
      </x:c>
      <x:c r="K39" s="17" t="n">
        <x:f>K37*K38</x:f>
        <x:v>0</x:v>
      </x:c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 t="str">
        <x:v>Cumulative cash flow</x:v>
      </x:c>
      <x:c r="D40" s="17" t="n">
        <x:f>SUM($D$37:D37)</x:f>
        <x:v>-0.1818</x:v>
      </x:c>
      <x:c r="E40" s="17" t="n">
        <x:f>SUM($D$37:E37)</x:f>
        <x:v>-0.10035417052490697</x:v>
      </x:c>
      <x:c r="F40" s="17" t="n">
        <x:f>SUM($D$37:F37)</x:f>
        <x:v>0.15335078882834913</x:v>
      </x:c>
      <x:c r="G40" s="17" t="n">
        <x:f>SUM($D$37:G37)</x:f>
        <x:v>0.4464412205845484</x:v>
      </x:c>
      <x:c r="H40" s="17" t="n">
        <x:f>SUM($D$37:H37)</x:f>
        <x:v>0.7466114131346498</x:v>
      </x:c>
      <x:c r="I40" s="17" t="n">
        <x:f>SUM($D$37:I37)</x:f>
        <x:v>0.9633633604985061</x:v>
      </x:c>
      <x:c r="J40" s="17" t="n">
        <x:f>SUM($D$37:J37)</x:f>
        <x:v>0.9633633604985061</x:v>
      </x:c>
      <x:c r="K40" s="17" t="n">
        <x:f>SUM($D$37:K37)</x:f>
        <x:v>0.9633633604985061</x:v>
      </x:c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 t="str">
        <x:v>Cumulative present value</x:v>
      </x:c>
      <x:c r="D41" s="17" t="n">
        <x:f>SUM($D$39:D39)</x:f>
        <x:v>-0.1818</x:v>
      </x:c>
      <x:c r="E41" s="17" t="n">
        <x:f>SUM($D$39:E39)</x:f>
        <x:v>-0.11035628993412892</x:v>
      </x:c>
      <x:c r="F41" s="17" t="n">
        <x:f>SUM($D$39:F39)</x:f>
        <x:v>0.08486143810007858</x:v>
      </x:c>
      <x:c r="G41" s="17" t="n">
        <x:f>SUM($D$39:G39)</x:f>
        <x:v>0.28268913120686395</x:v>
      </x:c>
      <x:c r="H41" s="17" t="n">
        <x:f>SUM($D$39:H39)</x:f>
        <x:v>0.4604139820701912</x:v>
      </x:c>
      <x:c r="I41" s="17" t="n">
        <x:f>SUM($D$39:I39)</x:f>
        <x:v>0.5729881514699462</x:v>
      </x:c>
      <x:c r="J41" s="17" t="n">
        <x:f>SUM($D$39:J39)</x:f>
        <x:v>0.5729881514699462</x:v>
      </x:c>
      <x:c r="K41" s="17" t="n">
        <x:f>SUM($D$39:K39)</x:f>
        <x:v>0.5729881514699462</x:v>
      </x:c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9" t="str">
        <x:v>Project NPV</x:v>
      </x:c>
      <x:c r="D43" s="41" t="n">
        <x:f>SUM(D39:K39)</x:f>
        <x:v>0.5729881514699462</x:v>
      </x:c>
      <x:c r="E43" s="40"/>
      <x:c r="F43" s="40"/>
      <x:c r="G43" s="40"/>
      <x:c r="H43" s="40"/>
      <x:c r="I43" s="40"/>
      <x:c r="J43" s="40"/>
      <x:c r="K43" s="40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 t="str">
        <x:v>Project IRR</x:v>
      </x:c>
      <x:c r="D44" s="19" t="n">
        <x:f>IF(SUM($H$5:$H$6)=0,"n.a.",IRR(D37:K37))</x:f>
        <x:v>0.9255428331105541</x:v>
      </x:c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 t="str">
        <x:v>Payback, years</x:v>
      </x:c>
      <x:c r="D45" s="17" t="n">
        <x:f>IF(D40&gt;=0,0,IF(E40&gt;=0,0-D40/E37,IF(F40&gt;=0,1-E40/F37,IF(G40&gt;=0,2-F40/G37,IF(H40&gt;=0,3-G40/H37,IF(I40&gt;=0,4-H40/I37,IF(J40&gt;=0,5-I40/J37,IF(K40&gt;=0,6-J40/K37,"not reached"))))))))</x:f>
        <x:v>1.395554626841862</x:v>
      </x:c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 t="str">
        <x:v>Discounted payback, years</x:v>
      </x:c>
      <x:c r="D46" s="17" t="n">
        <x:f>IF(D41&gt;=0,0,IF(E41&gt;=0,0-D41/E39,IF(F41&gt;=0,1-E41/F39,IF(G41&gt;=0,2-F41/G39,IF(H41&gt;=0,3-G41/H39,IF(I41&gt;=0,4-H41/I39,IF(J41&gt;=0,5-I41/J39,IF(K41&gt;=0,6-J41/K39,"not reached"))))))))</x:f>
        <x:v>1.5652985056500168</x:v>
      </x:c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 t="str">
        <x:v>Peak funding need</x:v>
      </x:c>
      <x:c r="D47" s="17" t="n">
        <x:f>-MIN(D40:K40)</x:f>
        <x:v>0.1818</x:v>
      </x:c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 t="str">
        <x:v>All annual profit growth positive</x:v>
      </x:c>
      <x:c r="D48" s="17" t="str">
        <x:f>IF(AND(COUNT(E28:K28)=$D$6,MIN(E28:K28)&gt;0),"PASS","FAIL")</x:f>
        <x:v>FAIL</x:v>
      </x:c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 t="str">
        <x:v>IRR above selected discount</x:v>
      </x:c>
      <x:c r="D49" s="17" t="str">
        <x:f>IF(SUM(H5:H6)=0,"n.a.",IF(D44&gt;D5,"PASS","FAIL"))</x:f>
        <x:v>PASS</x:v>
      </x:c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conditionalFormatting sqref="D48:D48">
    <x:cfRule type="containsText" dxfId="0" priority="1" operator="containsText" text="FAIL"/>
  </x:conditionalFormatting>
  <x:conditionalFormatting sqref="E30:K30">
    <x:cfRule type="containsText" dxfId="1" priority="2" operator="containsText" text="FAIL"/>
  </x:conditionalFormatting>
  <x:conditionalFormatting sqref="O18:Q20">
    <x:cfRule type="colorScale" priority="3">
      <x:colorScale>
        <x:cfvo type="min"/>
        <x:cfvo type="percentile" val="50"/>
        <x:cfvo type="max"/>
        <x:color rgb="FFF1D5D5"/>
        <x:color rgb="FFFFFFFF"/>
        <x:color rgb="FFBCD9C8"/>
      </x:colorScale>
    </x:cfRule>
  </x:conditionalFormatting>
  <x:dataValidations count="2">
    <x:dataValidation type="whole" operator="between" sqref="D4">
      <x:formula1>1</x:formula1>
      <x:formula2>14</x:formula2>
    </x:dataValidation>
    <x:dataValidation type="list" sqref="D6">
      <x:formula1>"3,5,7"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Policy search and held-out evaluation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43" t="str">
        <x:v>Imported simulation results. All shortlisted central annual-growth gates fail. No global optimality claim.</x:v>
      </x:c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21" t="str">
        <x:v>Money is Rp tn. Share ceilings differ from realised shares. Service violations are planning-model outcomes.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32" customHeight="1">
      <x:c r="A5" s="1"/>
      <x:c r="B5" s="1"/>
      <x:c r="C5" s="13" t="str">
        <x:v>Policy ID</x:v>
      </x:c>
      <x:c r="D5" s="14" t="str">
        <x:v>Package</x:v>
      </x:c>
      <x:c r="E5" s="14" t="str">
        <x:v>Share ceiling</x:v>
      </x:c>
      <x:c r="F5" s="14" t="str">
        <x:v>Buffer</x:v>
      </x:c>
      <x:c r="G5" s="14" t="str">
        <x:v>Mean NPV</x:v>
      </x:c>
      <x:c r="H5" s="14" t="str">
        <x:v>Median NPV</x:v>
      </x:c>
      <x:c r="I5" s="14" t="str">
        <x:v>p10 NPV</x:v>
      </x:c>
      <x:c r="J5" s="14" t="str">
        <x:v>Positive NPV</x:v>
      </x:c>
      <x:c r="K5" s="14" t="str">
        <x:v>Y1 ΔEBIT</x:v>
      </x:c>
      <x:c r="L5" s="14" t="str">
        <x:v>Y5 ΔEBIT</x:v>
      </x:c>
      <x:c r="M5" s="14" t="str">
        <x:v>Internal share</x:v>
      </x:c>
      <x:c r="N5" s="14" t="str">
        <x:v>Violation worlds</x:v>
      </x:c>
      <x:c r="O5" s="14" t="str">
        <x:v>Growth-pass worlds</x:v>
      </x:c>
      <x:c r="P5" s="14" t="str">
        <x:v>Mean capex</x:v>
      </x:c>
      <x:c r="Q5" s="4"/>
      <x:c r="R5" s="4"/>
      <x:c r="S5" s="4"/>
      <x:c r="T5" s="4"/>
      <x:c r="U5" s="4"/>
      <x:c r="V5" s="4"/>
    </x:row>
    <x:row r="6" ht="22" customHeight="1">
      <x:c r="A6" s="1"/>
      <x:c r="B6" s="1"/>
      <x:c r="C6" s="3" t="str">
        <x:v>P_SOFTWARE_75_100</x:v>
      </x:c>
      <x:c r="D6" s="4" t="str">
        <x:v>software</x:v>
      </x:c>
      <x:c r="E6" s="15" t="n">
        <x:v>0.75</x:v>
      </x:c>
      <x:c r="F6" s="15" t="n">
        <x:v>1</x:v>
      </x:c>
      <x:c r="G6" s="4" t="n">
        <x:v>1.0156906813788231</x:v>
      </x:c>
      <x:c r="H6" s="4" t="n">
        <x:v>0.9410442555911729</x:v>
      </x:c>
      <x:c r="I6" s="4" t="n">
        <x:v>0.25807868636316605</x:v>
      </x:c>
      <x:c r="J6" s="15" t="n">
        <x:v>0.978</x:v>
      </x:c>
      <x:c r="K6" s="4" t="n">
        <x:v>0.20751020146688928</x:v>
      </x:c>
      <x:c r="L6" s="4" t="n">
        <x:v>0.5415080047675823</x:v>
      </x:c>
      <x:c r="M6" s="15" t="n">
        <x:v>0.5757259523226074</x:v>
      </x:c>
      <x:c r="N6" s="15" t="n">
        <x:v>0.2785</x:v>
      </x:c>
      <x:c r="O6" s="15" t="n">
        <x:v>0.0006</x:v>
      </x:c>
      <x:c r="P6" s="4" t="n">
        <x:v>0.20440413618840925</x:v>
      </x:c>
      <x:c r="Q6" s="4"/>
      <x:c r="R6" s="4"/>
      <x:c r="S6" s="4"/>
      <x:c r="T6" s="4"/>
      <x:c r="U6" s="4"/>
      <x:c r="V6" s="4"/>
    </x:row>
    <x:row r="7" ht="22" customHeight="1">
      <x:c r="A7" s="1"/>
      <x:c r="B7" s="1"/>
      <x:c r="C7" s="3" t="str">
        <x:v>P_SOFTWARE_80_100</x:v>
      </x:c>
      <x:c r="D7" s="4" t="str">
        <x:v>software</x:v>
      </x:c>
      <x:c r="E7" s="15" t="n">
        <x:v>0.8</x:v>
      </x:c>
      <x:c r="F7" s="15" t="n">
        <x:v>1</x:v>
      </x:c>
      <x:c r="G7" s="4" t="n">
        <x:v>1.0156906813788231</x:v>
      </x:c>
      <x:c r="H7" s="4" t="n">
        <x:v>0.9410442555911729</x:v>
      </x:c>
      <x:c r="I7" s="4" t="n">
        <x:v>0.25807868636316605</x:v>
      </x:c>
      <x:c r="J7" s="15" t="n">
        <x:v>0.978</x:v>
      </x:c>
      <x:c r="K7" s="4" t="n">
        <x:v>0.20751020146688928</x:v>
      </x:c>
      <x:c r="L7" s="4" t="n">
        <x:v>0.5415080047675823</x:v>
      </x:c>
      <x:c r="M7" s="15" t="n">
        <x:v>0.5757259523226074</x:v>
      </x:c>
      <x:c r="N7" s="15" t="n">
        <x:v>0.2785</x:v>
      </x:c>
      <x:c r="O7" s="15" t="n">
        <x:v>0.0006</x:v>
      </x:c>
      <x:c r="P7" s="4" t="n">
        <x:v>0.20440413618840925</x:v>
      </x:c>
      <x:c r="Q7" s="4"/>
      <x:c r="R7" s="4"/>
      <x:c r="S7" s="4"/>
      <x:c r="T7" s="4"/>
      <x:c r="U7" s="4"/>
      <x:c r="V7" s="4"/>
    </x:row>
    <x:row r="8" ht="22" customHeight="1">
      <x:c r="A8" s="1"/>
      <x:c r="B8" s="1"/>
      <x:c r="C8" s="3" t="str">
        <x:v>P_SOFTWARE_85_100</x:v>
      </x:c>
      <x:c r="D8" s="4" t="str">
        <x:v>software</x:v>
      </x:c>
      <x:c r="E8" s="15" t="n">
        <x:v>0.85</x:v>
      </x:c>
      <x:c r="F8" s="15" t="n">
        <x:v>1</x:v>
      </x:c>
      <x:c r="G8" s="4" t="n">
        <x:v>1.0156906813788231</x:v>
      </x:c>
      <x:c r="H8" s="4" t="n">
        <x:v>0.9410442555911729</x:v>
      </x:c>
      <x:c r="I8" s="4" t="n">
        <x:v>0.25807868636316605</x:v>
      </x:c>
      <x:c r="J8" s="15" t="n">
        <x:v>0.978</x:v>
      </x:c>
      <x:c r="K8" s="4" t="n">
        <x:v>0.20751020146688928</x:v>
      </x:c>
      <x:c r="L8" s="4" t="n">
        <x:v>0.5415080047675823</x:v>
      </x:c>
      <x:c r="M8" s="15" t="n">
        <x:v>0.5757259523226074</x:v>
      </x:c>
      <x:c r="N8" s="15" t="n">
        <x:v>0.2785</x:v>
      </x:c>
      <x:c r="O8" s="15" t="n">
        <x:v>0.0006</x:v>
      </x:c>
      <x:c r="P8" s="4" t="n">
        <x:v>0.20440413618840925</x:v>
      </x:c>
      <x:c r="Q8" s="4"/>
      <x:c r="R8" s="4"/>
      <x:c r="S8" s="4"/>
      <x:c r="T8" s="4"/>
      <x:c r="U8" s="4"/>
      <x:c r="V8" s="4"/>
    </x:row>
    <x:row r="9" ht="22" customHeight="1">
      <x:c r="A9" s="1"/>
      <x:c r="B9" s="1"/>
      <x:c r="C9" s="3" t="str">
        <x:v>P_SOFTWARE_90_100</x:v>
      </x:c>
      <x:c r="D9" s="4" t="str">
        <x:v>software</x:v>
      </x:c>
      <x:c r="E9" s="15" t="n">
        <x:v>0.9</x:v>
      </x:c>
      <x:c r="F9" s="15" t="n">
        <x:v>1</x:v>
      </x:c>
      <x:c r="G9" s="4" t="n">
        <x:v>1.0156906813788231</x:v>
      </x:c>
      <x:c r="H9" s="4" t="n">
        <x:v>0.9410442555911729</x:v>
      </x:c>
      <x:c r="I9" s="4" t="n">
        <x:v>0.25807868636316605</x:v>
      </x:c>
      <x:c r="J9" s="15" t="n">
        <x:v>0.978</x:v>
      </x:c>
      <x:c r="K9" s="4" t="n">
        <x:v>0.20751020146688928</x:v>
      </x:c>
      <x:c r="L9" s="4" t="n">
        <x:v>0.5415080047675823</x:v>
      </x:c>
      <x:c r="M9" s="15" t="n">
        <x:v>0.5757259523226074</x:v>
      </x:c>
      <x:c r="N9" s="15" t="n">
        <x:v>0.2785</x:v>
      </x:c>
      <x:c r="O9" s="15" t="n">
        <x:v>0.0006</x:v>
      </x:c>
      <x:c r="P9" s="4" t="n">
        <x:v>0.20440413618840925</x:v>
      </x:c>
      <x:c r="Q9" s="4"/>
      <x:c r="R9" s="4"/>
      <x:c r="S9" s="4"/>
      <x:c r="T9" s="4"/>
      <x:c r="U9" s="4"/>
      <x:c r="V9" s="4"/>
    </x:row>
    <x:row r="10" ht="22" customHeight="1">
      <x:c r="A10" s="1"/>
      <x:c r="B10" s="1"/>
      <x:c r="C10" s="3" t="str">
        <x:v>P_SOFTWARE_95_100</x:v>
      </x:c>
      <x:c r="D10" s="4" t="str">
        <x:v>software</x:v>
      </x:c>
      <x:c r="E10" s="15" t="n">
        <x:v>0.95</x:v>
      </x:c>
      <x:c r="F10" s="15" t="n">
        <x:v>1</x:v>
      </x:c>
      <x:c r="G10" s="4" t="n">
        <x:v>1.0156906813788231</x:v>
      </x:c>
      <x:c r="H10" s="4" t="n">
        <x:v>0.9410442555911729</x:v>
      </x:c>
      <x:c r="I10" s="4" t="n">
        <x:v>0.25807868636316605</x:v>
      </x:c>
      <x:c r="J10" s="15" t="n">
        <x:v>0.978</x:v>
      </x:c>
      <x:c r="K10" s="4" t="n">
        <x:v>0.20751020146688928</x:v>
      </x:c>
      <x:c r="L10" s="4" t="n">
        <x:v>0.5415080047675823</x:v>
      </x:c>
      <x:c r="M10" s="15" t="n">
        <x:v>0.5757259523226074</x:v>
      </x:c>
      <x:c r="N10" s="15" t="n">
        <x:v>0.2785</x:v>
      </x:c>
      <x:c r="O10" s="15" t="n">
        <x:v>0.0006</x:v>
      </x:c>
      <x:c r="P10" s="4" t="n">
        <x:v>0.20440413618840925</x:v>
      </x:c>
      <x:c r="Q10" s="4"/>
      <x:c r="R10" s="4"/>
      <x:c r="S10" s="4"/>
      <x:c r="T10" s="4"/>
      <x:c r="U10" s="4"/>
      <x:c r="V10" s="4"/>
    </x:row>
    <x:row r="11" ht="22" customHeight="1">
      <x:c r="A11" s="1"/>
      <x:c r="B11" s="1"/>
      <x:c r="C11" s="3" t="str">
        <x:v>P_CURRENT</x:v>
      </x:c>
      <x:c r="D11" s="4" t="str">
        <x:v>current</x:v>
      </x:c>
      <x:c r="E11" s="15" t="n">
        <x:v>0.5</x:v>
      </x:c>
      <x:c r="F11" s="15" t="n">
        <x:v>1</x:v>
      </x:c>
      <x:c r="G11" s="4" t="n">
        <x:v>0</x:v>
      </x:c>
      <x:c r="H11" s="4" t="n">
        <x:v>0</x:v>
      </x:c>
      <x:c r="I11" s="4" t="n">
        <x:v>0</x:v>
      </x:c>
      <x:c r="J11" s="15" t="n">
        <x:v>0</x:v>
      </x:c>
      <x:c r="K11" s="4" t="n">
        <x:v>0</x:v>
      </x:c>
      <x:c r="L11" s="4" t="n">
        <x:v>0</x:v>
      </x:c>
      <x:c r="M11" s="15" t="n">
        <x:v>0.49977711540604525</x:v>
      </x:c>
      <x:c r="N11" s="15" t="n">
        <x:v>0.0686</x:v>
      </x:c>
      <x:c r="O11" s="15" t="n">
        <x:v>0.0001</x:v>
      </x:c>
      <x:c r="P11" s="4" t="n">
        <x:v>0</x:v>
      </x:c>
      <x:c r="Q11" s="4"/>
      <x:c r="R11" s="4"/>
      <x:c r="S11" s="4"/>
      <x:c r="T11" s="4"/>
      <x:c r="U11" s="4"/>
      <x:c r="V11" s="4"/>
    </x:row>
    <x:row r="12" ht="22" customHeight="1">
      <x:c r="A12" s="1"/>
      <x:c r="B12" s="1"/>
      <x:c r="C12" s="3" t="str">
        <x:v>P_RULES_75_100</x:v>
      </x:c>
      <x:c r="D12" s="4" t="str">
        <x:v>rules</x:v>
      </x:c>
      <x:c r="E12" s="15" t="n">
        <x:v>0.75</x:v>
      </x:c>
      <x:c r="F12" s="15" t="n">
        <x:v>1</x:v>
      </x:c>
      <x:c r="G12" s="4" t="n">
        <x:v>1.0154660356761316</x:v>
      </x:c>
      <x:c r="H12" s="4" t="n">
        <x:v>0.9295546611993828</x:v>
      </x:c>
      <x:c r="I12" s="4" t="n">
        <x:v>0.2268749511152179</x:v>
      </x:c>
      <x:c r="J12" s="15" t="n">
        <x:v>0.9992</x:v>
      </x:c>
      <x:c r="K12" s="4" t="n">
        <x:v>0.3252655082231604</x:v>
      </x:c>
      <x:c r="L12" s="4" t="n">
        <x:v>0.4145423109679752</x:v>
      </x:c>
      <x:c r="M12" s="15" t="n">
        <x:v>0.5679737131028841</x:v>
      </x:c>
      <x:c r="N12" s="15" t="n">
        <x:v>0.3514</x:v>
      </x:c>
      <x:c r="O12" s="15" t="n">
        <x:v>0.0004</x:v>
      </x:c>
      <x:c r="P12" s="4" t="n">
        <x:v>0</x:v>
      </x:c>
      <x:c r="Q12" s="4"/>
      <x:c r="R12" s="4"/>
      <x:c r="S12" s="4"/>
      <x:c r="T12" s="4"/>
      <x:c r="U12" s="4"/>
      <x:c r="V12" s="4"/>
    </x:row>
    <x:row r="13" ht="22" customHeight="1">
      <x:c r="A13" s="1"/>
      <x:c r="B13" s="1"/>
      <x:c r="C13" s="3" t="str">
        <x:v>P_RULES_55_94</x:v>
      </x:c>
      <x:c r="D13" s="4" t="str">
        <x:v>rules</x:v>
      </x:c>
      <x:c r="E13" s="15" t="n">
        <x:v>0.55</x:v>
      </x:c>
      <x:c r="F13" s="15" t="n">
        <x:v>0.94</x:v>
      </x:c>
      <x:c r="G13" s="4" t="n">
        <x:v>0.6283276541095365</x:v>
      </x:c>
      <x:c r="H13" s="4" t="n">
        <x:v>0.6393740766232227</x:v>
      </x:c>
      <x:c r="I13" s="4" t="n">
        <x:v>0.1400121094856476</x:v>
      </x:c>
      <x:c r="J13" s="15" t="n">
        <x:v>0.985</x:v>
      </x:c>
      <x:c r="K13" s="4" t="n">
        <x:v>0.188991167511968</x:v>
      </x:c>
      <x:c r="L13" s="4" t="n">
        <x:v>0.2619887588046812</x:v>
      </x:c>
      <x:c r="M13" s="15" t="n">
        <x:v>0.5330804552435191</x:v>
      </x:c>
      <x:c r="N13" s="15" t="n">
        <x:v>0.091</x:v>
      </x:c>
      <x:c r="O13" s="15" t="n">
        <x:v>0.0001</x:v>
      </x:c>
      <x:c r="P13" s="4" t="n">
        <x:v>0</x:v>
      </x:c>
      <x:c r="Q13" s="4"/>
      <x:c r="R13" s="4"/>
      <x:c r="S13" s="4"/>
      <x:c r="T13" s="4"/>
      <x:c r="U13" s="4"/>
      <x:c r="V13" s="4"/>
    </x:row>
    <x:row r="14" ht="22" customHeight="1">
      <x:c r="A14" s="1"/>
      <x:c r="B14" s="1"/>
      <x:c r="C14" s="3" t="str">
        <x:v>P_RULES_70_88</x:v>
      </x:c>
      <x:c r="D14" s="4" t="str">
        <x:v>rules</x:v>
      </x:c>
      <x:c r="E14" s="15" t="n">
        <x:v>0.7</x:v>
      </x:c>
      <x:c r="F14" s="15" t="n">
        <x:v>0.88</x:v>
      </x:c>
      <x:c r="G14" s="4" t="n">
        <x:v>0.4685316542600356</x:v>
      </x:c>
      <x:c r="H14" s="4" t="n">
        <x:v>0.37551307937117046</x:v>
      </x:c>
      <x:c r="I14" s="4" t="n">
        <x:v>-0.2184664450340122</x:v>
      </x:c>
      <x:c r="J14" s="15" t="n">
        <x:v>0.7445</x:v>
      </x:c>
      <x:c r="K14" s="4" t="n">
        <x:v>0.14193747874895968</x:v>
      </x:c>
      <x:c r="L14" s="4" t="n">
        <x:v>0.20240467290831307</x:v>
      </x:c>
      <x:c r="M14" s="15" t="n">
        <x:v>0.5281227086531035</x:v>
      </x:c>
      <x:c r="N14" s="15" t="n">
        <x:v>0.0215</x:v>
      </x:c>
      <x:c r="O14" s="15" t="n">
        <x:v>0.0002</x:v>
      </x:c>
      <x:c r="P14" s="4" t="n">
        <x:v>0</x:v>
      </x:c>
      <x:c r="Q14" s="4"/>
      <x:c r="R14" s="4"/>
      <x:c r="S14" s="4"/>
      <x:c r="T14" s="4"/>
      <x:c r="U14" s="4"/>
      <x:c r="V14" s="4"/>
    </x:row>
    <x:row r="15" ht="22" customHeight="1">
      <x:c r="A15" s="1"/>
      <x:c r="B15" s="1"/>
      <x:c r="C15" s="3" t="str">
        <x:v>P_SOFTWARE_60_94</x:v>
      </x:c>
      <x:c r="D15" s="4" t="str">
        <x:v>software</x:v>
      </x:c>
      <x:c r="E15" s="15" t="n">
        <x:v>0.6</x:v>
      </x:c>
      <x:c r="F15" s="15" t="n">
        <x:v>0.94</x:v>
      </x:c>
      <x:c r="G15" s="4" t="n">
        <x:v>0.8350464281538267</x:v>
      </x:c>
      <x:c r="H15" s="4" t="n">
        <x:v>0.8112144669716492</x:v>
      </x:c>
      <x:c r="I15" s="4" t="n">
        <x:v>0.165303057334382</x:v>
      </x:c>
      <x:c r="J15" s="15" t="n">
        <x:v>0.963</x:v>
      </x:c>
      <x:c r="K15" s="4" t="n">
        <x:v>0.14888663918194095</x:v>
      </x:c>
      <x:c r="L15" s="4" t="n">
        <x:v>0.47052282372189713</x:v>
      </x:c>
      <x:c r="M15" s="15" t="n">
        <x:v>0.5570678768065395</x:v>
      </x:c>
      <x:c r="N15" s="15" t="n">
        <x:v>0.0964</x:v>
      </x:c>
      <x:c r="O15" s="15" t="n">
        <x:v>0.0005</x:v>
      </x:c>
      <x:c r="P15" s="4" t="n">
        <x:v>0.20440413618840925</x:v>
      </x:c>
      <x:c r="Q15" s="4"/>
      <x:c r="R15" s="4"/>
      <x:c r="S15" s="4"/>
      <x:c r="T15" s="4"/>
      <x:c r="U15" s="4"/>
      <x:c r="V15" s="4"/>
    </x:row>
    <x:row r="16" ht="22" customHeight="1">
      <x:c r="A16" s="1"/>
      <x:c r="B16" s="1"/>
      <x:c r="C16" s="3" t="str">
        <x:v>P_SOFTWARE_70_88</x:v>
      </x:c>
      <x:c r="D16" s="4" t="str">
        <x:v>software</x:v>
      </x:c>
      <x:c r="E16" s="15" t="n">
        <x:v>0.7</x:v>
      </x:c>
      <x:c r="F16" s="15" t="n">
        <x:v>0.88</x:v>
      </x:c>
      <x:c r="G16" s="4" t="n">
        <x:v>0.5090185115539975</x:v>
      </x:c>
      <x:c r="H16" s="4" t="n">
        <x:v>0.4178914467245238</x:v>
      </x:c>
      <x:c r="I16" s="4" t="n">
        <x:v>-0.1605076098587704</x:v>
      </x:c>
      <x:c r="J16" s="15" t="n">
        <x:v>0.8049</x:v>
      </x:c>
      <x:c r="K16" s="4" t="n">
        <x:v>0.06159023777301404</x:v>
      </x:c>
      <x:c r="L16" s="4" t="n">
        <x:v>0.3326891938830313</x:v>
      </x:c>
      <x:c r="M16" s="15" t="n">
        <x:v>0.5367857444211924</x:v>
      </x:c>
      <x:c r="N16" s="15" t="n">
        <x:v>0.0179</x:v>
      </x:c>
      <x:c r="O16" s="15" t="n">
        <x:v>0.0005</x:v>
      </x:c>
      <x:c r="P16" s="4" t="n">
        <x:v>0.20440413618840925</x:v>
      </x:c>
      <x:c r="Q16" s="4"/>
      <x:c r="R16" s="4"/>
      <x:c r="S16" s="4"/>
      <x:c r="T16" s="4"/>
      <x:c r="U16" s="4"/>
      <x:c r="V16" s="4"/>
    </x:row>
    <x:row r="17" ht="22" customHeight="1">
      <x:c r="A17" s="1"/>
      <x:c r="B17" s="1"/>
      <x:c r="C17" s="3" t="str">
        <x:v>P_TARGETED_75_100</x:v>
      </x:c>
      <x:c r="D17" s="4" t="str">
        <x:v>targeted</x:v>
      </x:c>
      <x:c r="E17" s="15" t="n">
        <x:v>0.75</x:v>
      </x:c>
      <x:c r="F17" s="15" t="n">
        <x:v>1</x:v>
      </x:c>
      <x:c r="G17" s="4" t="n">
        <x:v>0.3592273539904041</x:v>
      </x:c>
      <x:c r="H17" s="4" t="n">
        <x:v>0.31483467435342954</x:v>
      </x:c>
      <x:c r="I17" s="4" t="n">
        <x:v>-0.34823713533069267</x:v>
      </x:c>
      <x:c r="J17" s="15" t="n">
        <x:v>0.7078</x:v>
      </x:c>
      <x:c r="K17" s="4" t="n">
        <x:v>-0.03020600565511128</x:v>
      </x:c>
      <x:c r="L17" s="4" t="n">
        <x:v>0.5916096479246967</x:v>
      </x:c>
      <x:c r="M17" s="15" t="n">
        <x:v>0.61666026287936</x:v>
      </x:c>
      <x:c r="N17" s="15" t="n">
        <x:v>0.0607</x:v>
      </x:c>
      <x:c r="O17" s="15" t="n">
        <x:v>0.0006</x:v>
      </x:c>
      <x:c r="P17" s="4" t="n">
        <x:v>1.169645890411453</x:v>
      </x:c>
      <x:c r="Q17" s="4"/>
      <x:c r="R17" s="4"/>
      <x:c r="S17" s="4"/>
      <x:c r="T17" s="4"/>
      <x:c r="U17" s="4"/>
      <x:c r="V17" s="4"/>
    </x:row>
    <x:row r="18" ht="22" customHeight="1">
      <x:c r="A18" s="1"/>
      <x:c r="B18" s="1"/>
      <x:c r="C18" s="3" t="str">
        <x:v>P_TARGETED_75_94</x:v>
      </x:c>
      <x:c r="D18" s="4" t="str">
        <x:v>targeted</x:v>
      </x:c>
      <x:c r="E18" s="15" t="n">
        <x:v>0.75</x:v>
      </x:c>
      <x:c r="F18" s="15" t="n">
        <x:v>0.94</x:v>
      </x:c>
      <x:c r="G18" s="4" t="n">
        <x:v>0.33284912311830694</x:v>
      </x:c>
      <x:c r="H18" s="4" t="n">
        <x:v>0.28999092365868656</x:v>
      </x:c>
      <x:c r="I18" s="4" t="n">
        <x:v>-0.3864380117392498</x:v>
      </x:c>
      <x:c r="J18" s="15" t="n">
        <x:v>0.6851</x:v>
      </x:c>
      <x:c r="K18" s="4" t="n">
        <x:v>-0.04875409787513422</x:v>
      </x:c>
      <x:c r="L18" s="4" t="n">
        <x:v>0.5875460161005253</x:v>
      </x:c>
      <x:c r="M18" s="15" t="n">
        <x:v>0.615143347318011</x:v>
      </x:c>
      <x:c r="N18" s="15" t="n">
        <x:v>0.0477</x:v>
      </x:c>
      <x:c r="O18" s="15" t="n">
        <x:v>0.0006</x:v>
      </x:c>
      <x:c r="P18" s="4" t="n">
        <x:v>1.169645890411453</x:v>
      </x:c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3" t="str">
        <x:v>P_LARGE_85_100</x:v>
      </x:c>
      <x:c r="D19" s="4" t="str">
        <x:v>large</x:v>
      </x:c>
      <x:c r="E19" s="15" t="n">
        <x:v>0.85</x:v>
      </x:c>
      <x:c r="F19" s="15" t="n">
        <x:v>1</x:v>
      </x:c>
      <x:c r="G19" s="4" t="n">
        <x:v>-3.219809643804043</x:v>
      </x:c>
      <x:c r="H19" s="4" t="n">
        <x:v>-3.1916929127783744</x:v>
      </x:c>
      <x:c r="I19" s="4" t="n">
        <x:v>-4.1186893885249685</x:v>
      </x:c>
      <x:c r="J19" s="15" t="n">
        <x:v>0</x:v>
      </x:c>
      <x:c r="K19" s="4" t="n">
        <x:v>-0.6195441295019763</x:v>
      </x:c>
      <x:c r="L19" s="4" t="n">
        <x:v>-0.03516164293879304</x:v>
      </x:c>
      <x:c r="M19" s="15" t="n">
        <x:v>0.6754203590459762</x:v>
      </x:c>
      <x:c r="N19" s="15" t="n">
        <x:v>0.006</x:v>
      </x:c>
      <x:c r="O19" s="15" t="n">
        <x:v>0.0004</x:v>
      </x:c>
      <x:c r="P19" s="4" t="n">
        <x:v>4.292486859956595</x:v>
      </x:c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32" customHeight="1">
      <x:c r="A23" s="1"/>
      <x:c r="B23" s="1"/>
      <x:c r="C23" s="13" t="str">
        <x:v>Screened policy</x:v>
      </x:c>
      <x:c r="D23" s="14" t="str">
        <x:v>Package</x:v>
      </x:c>
      <x:c r="E23" s="14" t="str">
        <x:v>Ceiling</x:v>
      </x:c>
      <x:c r="F23" s="14" t="str">
        <x:v>Buffer</x:v>
      </x:c>
      <x:c r="G23" s="14" t="str">
        <x:v>Mean NPV</x:v>
      </x:c>
      <x:c r="H23" s="14" t="str">
        <x:v>p10 NPV</x:v>
      </x:c>
      <x:c r="I23" s="14" t="str">
        <x:v>Violation worlds</x:v>
      </x:c>
      <x:c r="J23" s="14" t="str">
        <x:v>Realised share</x:v>
      </x:c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 t="str">
        <x:v>P_CURRENT</x:v>
      </x:c>
      <x:c r="D24" s="4" t="str">
        <x:v>current</x:v>
      </x:c>
      <x:c r="E24" s="15" t="n">
        <x:v>0.5</x:v>
      </x:c>
      <x:c r="F24" s="15" t="n">
        <x:v>1</x:v>
      </x:c>
      <x:c r="G24" s="4" t="n">
        <x:v>0</x:v>
      </x:c>
      <x:c r="H24" s="4" t="n">
        <x:v>0</x:v>
      </x:c>
      <x:c r="I24" s="15" t="n">
        <x:v>0.066</x:v>
      </x:c>
      <x:c r="J24" s="15" t="n">
        <x:v>0.4995634329624112</x:v>
      </x:c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 t="str">
        <x:v>P_RULES_45_88</x:v>
      </x:c>
      <x:c r="D25" s="4" t="str">
        <x:v>rules</x:v>
      </x:c>
      <x:c r="E25" s="15" t="n">
        <x:v>0.45</x:v>
      </x:c>
      <x:c r="F25" s="15" t="n">
        <x:v>0.88</x:v>
      </x:c>
      <x:c r="G25" s="4" t="n">
        <x:v>-0.8441068786411782</x:v>
      </x:c>
      <x:c r="H25" s="4" t="n">
        <x:v>-1.0766593406482678</x:v>
      </x:c>
      <x:c r="I25" s="15" t="n">
        <x:v>0.018</x:v>
      </x:c>
      <x:c r="J25" s="15" t="n">
        <x:v>0.45852222544603877</x:v>
      </x:c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 t="str">
        <x:v>P_RULES_45_94</x:v>
      </x:c>
      <x:c r="D26" s="4" t="str">
        <x:v>rules</x:v>
      </x:c>
      <x:c r="E26" s="15" t="n">
        <x:v>0.45</x:v>
      </x:c>
      <x:c r="F26" s="15" t="n">
        <x:v>0.94</x:v>
      </x:c>
      <x:c r="G26" s="4" t="n">
        <x:v>-0.8237299651585219</x:v>
      </x:c>
      <x:c r="H26" s="4" t="n">
        <x:v>-1.070041787756716</x:v>
      </x:c>
      <x:c r="I26" s="15" t="n">
        <x:v>0.022</x:v>
      </x:c>
      <x:c r="J26" s="15" t="n">
        <x:v>0.4587514989347489</x:v>
      </x:c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 t="str">
        <x:v>P_RULES_45_100</x:v>
      </x:c>
      <x:c r="D27" s="4" t="str">
        <x:v>rules</x:v>
      </x:c>
      <x:c r="E27" s="15" t="n">
        <x:v>0.45</x:v>
      </x:c>
      <x:c r="F27" s="15" t="n">
        <x:v>1</x:v>
      </x:c>
      <x:c r="G27" s="4" t="n">
        <x:v>-0.8253526526759746</x:v>
      </x:c>
      <x:c r="H27" s="4" t="n">
        <x:v>-1.07196723568705</x:v>
      </x:c>
      <x:c r="I27" s="15" t="n">
        <x:v>0.022</x:v>
      </x:c>
      <x:c r="J27" s="15" t="n">
        <x:v>0.4587864811486428</x:v>
      </x:c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 t="str">
        <x:v>P_RULES_50_88</x:v>
      </x:c>
      <x:c r="D28" s="4" t="str">
        <x:v>rules</x:v>
      </x:c>
      <x:c r="E28" s="15" t="n">
        <x:v>0.5</x:v>
      </x:c>
      <x:c r="F28" s="15" t="n">
        <x:v>0.88</x:v>
      </x:c>
      <x:c r="G28" s="4" t="n">
        <x:v>0.038407652327719664</x:v>
      </x:c>
      <x:c r="H28" s="4" t="n">
        <x:v>-0.2295403361032558</x:v>
      </x:c>
      <x:c r="I28" s="15" t="n">
        <x:v>0.025</x:v>
      </x:c>
      <x:c r="J28" s="15" t="n">
        <x:v>0.49650651210482777</x:v>
      </x:c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 t="str">
        <x:v>P_RULES_50_94</x:v>
      </x:c>
      <x:c r="D29" s="4" t="str">
        <x:v>rules</x:v>
      </x:c>
      <x:c r="E29" s="15" t="n">
        <x:v>0.5</x:v>
      </x:c>
      <x:c r="F29" s="15" t="n">
        <x:v>0.94</x:v>
      </x:c>
      <x:c r="G29" s="4" t="n">
        <x:v>0.13808898615622922</x:v>
      </x:c>
      <x:c r="H29" s="4" t="n">
        <x:v>-0.020938526795113915</x:v>
      </x:c>
      <x:c r="I29" s="15" t="n">
        <x:v>0.058</x:v>
      </x:c>
      <x:c r="J29" s="15" t="n">
        <x:v>0.49894377307117543</x:v>
      </x:c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 t="str">
        <x:v>P_RULES_50_100</x:v>
      </x:c>
      <x:c r="D30" s="4" t="str">
        <x:v>rules</x:v>
      </x:c>
      <x:c r="E30" s="15" t="n">
        <x:v>0.5</x:v>
      </x:c>
      <x:c r="F30" s="15" t="n">
        <x:v>1</x:v>
      </x:c>
      <x:c r="G30" s="4" t="n">
        <x:v>0.14147322397297687</x:v>
      </x:c>
      <x:c r="H30" s="4" t="n">
        <x:v>-0.008723262742664412</x:v>
      </x:c>
      <x:c r="I30" s="15" t="n">
        <x:v>0.078</x:v>
      </x:c>
      <x:c r="J30" s="15" t="n">
        <x:v>0.4994173468862442</x:v>
      </x:c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 t="str">
        <x:v>P_RULES_55_88</x:v>
      </x:c>
      <x:c r="D31" s="4" t="str">
        <x:v>rules</x:v>
      </x:c>
      <x:c r="E31" s="15" t="n">
        <x:v>0.55</x:v>
      </x:c>
      <x:c r="F31" s="15" t="n">
        <x:v>0.88</x:v>
      </x:c>
      <x:c r="G31" s="4" t="n">
        <x:v>0.3926774385941303</x:v>
      </x:c>
      <x:c r="H31" s="4" t="n">
        <x:v>-0.2041473020830386</x:v>
      </x:c>
      <x:c r="I31" s="15" t="n">
        <x:v>0.027</x:v>
      </x:c>
      <x:c r="J31" s="15" t="n">
        <x:v>0.5210250575477683</x:v>
      </x:c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 t="str">
        <x:v>P_RULES_55_94</x:v>
      </x:c>
      <x:c r="D32" s="4" t="str">
        <x:v>rules</x:v>
      </x:c>
      <x:c r="E32" s="15" t="n">
        <x:v>0.55</x:v>
      </x:c>
      <x:c r="F32" s="15" t="n">
        <x:v>0.94</x:v>
      </x:c>
      <x:c r="G32" s="4" t="n">
        <x:v>0.6451455355365388</x:v>
      </x:c>
      <x:c r="H32" s="4" t="n">
        <x:v>0.14857861350942836</x:v>
      </x:c>
      <x:c r="I32" s="15" t="n">
        <x:v>0.085</x:v>
      </x:c>
      <x:c r="J32" s="15" t="n">
        <x:v>0.5332097188415341</x:v>
      </x:c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 t="str">
        <x:v>P_RULES_55_100</x:v>
      </x:c>
      <x:c r="D33" s="4" t="str">
        <x:v>rules</x:v>
      </x:c>
      <x:c r="E33" s="15" t="n">
        <x:v>0.55</x:v>
      </x:c>
      <x:c r="F33" s="15" t="n">
        <x:v>1</x:v>
      </x:c>
      <x:c r="G33" s="4" t="n">
        <x:v>0.6700973955575626</x:v>
      </x:c>
      <x:c r="H33" s="4" t="n">
        <x:v>0.21470178561678166</x:v>
      </x:c>
      <x:c r="I33" s="15" t="n">
        <x:v>0.182</x:v>
      </x:c>
      <x:c r="J33" s="15" t="n">
        <x:v>0.536948407766095</x:v>
      </x:c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 t="str">
        <x:v>P_RULES_60_88</x:v>
      </x:c>
      <x:c r="D34" s="4" t="str">
        <x:v>rules</x:v>
      </x:c>
      <x:c r="E34" s="15" t="n">
        <x:v>0.6</x:v>
      </x:c>
      <x:c r="F34" s="15" t="n">
        <x:v>0.88</x:v>
      </x:c>
      <x:c r="G34" s="4" t="n">
        <x:v>0.4844142839672402</x:v>
      </x:c>
      <x:c r="H34" s="4" t="n">
        <x:v>-0.2041473020830386</x:v>
      </x:c>
      <x:c r="I34" s="15" t="n">
        <x:v>0.028</x:v>
      </x:c>
      <x:c r="J34" s="15" t="n">
        <x:v>0.52803942500061</x:v>
      </x:c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 t="str">
        <x:v>P_RULES_60_94</x:v>
      </x:c>
      <x:c r="D35" s="4" t="str">
        <x:v>rules</x:v>
      </x:c>
      <x:c r="E35" s="15" t="n">
        <x:v>0.6</x:v>
      </x:c>
      <x:c r="F35" s="15" t="n">
        <x:v>0.94</x:v>
      </x:c>
      <x:c r="G35" s="4" t="n">
        <x:v>0.8787212053423596</x:v>
      </x:c>
      <x:c r="H35" s="4" t="n">
        <x:v>0.14933212416877617</x:v>
      </x:c>
      <x:c r="I35" s="15" t="n">
        <x:v>0.117</x:v>
      </x:c>
      <x:c r="J35" s="15" t="n">
        <x:v>0.5512083638423008</x:v>
      </x:c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 t="str">
        <x:v>P_RULES_60_100</x:v>
      </x:c>
      <x:c r="D36" s="4" t="str">
        <x:v>rules</x:v>
      </x:c>
      <x:c r="E36" s="15" t="n">
        <x:v>0.6</x:v>
      </x:c>
      <x:c r="F36" s="15" t="n">
        <x:v>1</x:v>
      </x:c>
      <x:c r="G36" s="4" t="n">
        <x:v>0.9563138858784552</x:v>
      </x:c>
      <x:c r="H36" s="4" t="n">
        <x:v>0.22788010972528852</x:v>
      </x:c>
      <x:c r="I36" s="15" t="n">
        <x:v>0.315</x:v>
      </x:c>
      <x:c r="J36" s="15" t="n">
        <x:v>0.5613029180769216</x:v>
      </x:c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 t="str">
        <x:v>P_RULES_65_88</x:v>
      </x:c>
      <x:c r="D37" s="4" t="str">
        <x:v>rules</x:v>
      </x:c>
      <x:c r="E37" s="15" t="n">
        <x:v>0.65</x:v>
      </x:c>
      <x:c r="F37" s="15" t="n">
        <x:v>0.88</x:v>
      </x:c>
      <x:c r="G37" s="4" t="n">
        <x:v>0.4979832656913861</x:v>
      </x:c>
      <x:c r="H37" s="4" t="n">
        <x:v>-0.2041473020830386</x:v>
      </x:c>
      <x:c r="I37" s="15" t="n">
        <x:v>0.028</x:v>
      </x:c>
      <x:c r="J37" s="15" t="n">
        <x:v>0.5292071612293564</x:v>
      </x:c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 t="str">
        <x:v>P_RULES_65_94</x:v>
      </x:c>
      <x:c r="D38" s="4" t="str">
        <x:v>rules</x:v>
      </x:c>
      <x:c r="E38" s="15" t="n">
        <x:v>0.65</x:v>
      </x:c>
      <x:c r="F38" s="15" t="n">
        <x:v>0.94</x:v>
      </x:c>
      <x:c r="G38" s="4" t="n">
        <x:v>0.9384455853100607</x:v>
      </x:c>
      <x:c r="H38" s="4" t="n">
        <x:v>0.14933212416877617</x:v>
      </x:c>
      <x:c r="I38" s="15" t="n">
        <x:v>0.13</x:v>
      </x:c>
      <x:c r="J38" s="15" t="n">
        <x:v>0.5555156340911688</x:v>
      </x:c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 t="str">
        <x:v>P_RULES_65_100</x:v>
      </x:c>
      <x:c r="D39" s="4" t="str">
        <x:v>rules</x:v>
      </x:c>
      <x:c r="E39" s="15" t="n">
        <x:v>0.65</x:v>
      </x:c>
      <x:c r="F39" s="15" t="n">
        <x:v>1</x:v>
      </x:c>
      <x:c r="G39" s="4" t="n">
        <x:v>1.0399192722875068</x:v>
      </x:c>
      <x:c r="H39" s="4" t="n">
        <x:v>0.22788010972528852</x:v>
      </x:c>
      <x:c r="I39" s="15" t="n">
        <x:v>0.356</x:v>
      </x:c>
      <x:c r="J39" s="15" t="n">
        <x:v>0.5682793923117748</x:v>
      </x:c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 t="str">
        <x:v>P_RULES_70_88</x:v>
      </x:c>
      <x:c r="D40" s="4" t="str">
        <x:v>rules</x:v>
      </x:c>
      <x:c r="E40" s="15" t="n">
        <x:v>0.7</x:v>
      </x:c>
      <x:c r="F40" s="15" t="n">
        <x:v>0.88</x:v>
      </x:c>
      <x:c r="G40" s="4" t="n">
        <x:v>0.4987230186831955</x:v>
      </x:c>
      <x:c r="H40" s="4" t="n">
        <x:v>-0.2041473020830386</x:v>
      </x:c>
      <x:c r="I40" s="15" t="n">
        <x:v>0.028</x:v>
      </x:c>
      <x:c r="J40" s="15" t="n">
        <x:v>0.5292661736658186</x:v>
      </x:c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 t="str">
        <x:v>P_RULES_70_94</x:v>
      </x:c>
      <x:c r="D41" s="4" t="str">
        <x:v>rules</x:v>
      </x:c>
      <x:c r="E41" s="15" t="n">
        <x:v>0.7</x:v>
      </x:c>
      <x:c r="F41" s="15" t="n">
        <x:v>0.94</x:v>
      </x:c>
      <x:c r="G41" s="4" t="n">
        <x:v>0.9451123419428376</x:v>
      </x:c>
      <x:c r="H41" s="4" t="n">
        <x:v>0.14933212416877617</x:v>
      </x:c>
      <x:c r="I41" s="15" t="n">
        <x:v>0.13</x:v>
      </x:c>
      <x:c r="J41" s="15" t="n">
        <x:v>0.5560764495618631</x:v>
      </x:c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 t="str">
        <x:v>P_RULES_70_100</x:v>
      </x:c>
      <x:c r="D42" s="4" t="str">
        <x:v>rules</x:v>
      </x:c>
      <x:c r="E42" s="15" t="n">
        <x:v>0.7</x:v>
      </x:c>
      <x:c r="F42" s="15" t="n">
        <x:v>1</x:v>
      </x:c>
      <x:c r="G42" s="4" t="n">
        <x:v>1.0506297023984605</x:v>
      </x:c>
      <x:c r="H42" s="4" t="n">
        <x:v>0.22788010972528852</x:v>
      </x:c>
      <x:c r="I42" s="15" t="n">
        <x:v>0.357</x:v>
      </x:c>
      <x:c r="J42" s="15" t="n">
        <x:v>0.5691646028826445</x:v>
      </x:c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 t="str">
        <x:v>P_RULES_75_88</x:v>
      </x:c>
      <x:c r="D43" s="4" t="str">
        <x:v>rules</x:v>
      </x:c>
      <x:c r="E43" s="15" t="n">
        <x:v>0.75</x:v>
      </x:c>
      <x:c r="F43" s="15" t="n">
        <x:v>0.88</x:v>
      </x:c>
      <x:c r="G43" s="4" t="n">
        <x:v>0.4987230186831955</x:v>
      </x:c>
      <x:c r="H43" s="4" t="n">
        <x:v>-0.2041473020830386</x:v>
      </x:c>
      <x:c r="I43" s="15" t="n">
        <x:v>0.028</x:v>
      </x:c>
      <x:c r="J43" s="15" t="n">
        <x:v>0.5292661736658186</x:v>
      </x:c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 t="str">
        <x:v>P_RULES_75_94</x:v>
      </x:c>
      <x:c r="D44" s="4" t="str">
        <x:v>rules</x:v>
      </x:c>
      <x:c r="E44" s="15" t="n">
        <x:v>0.75</x:v>
      </x:c>
      <x:c r="F44" s="15" t="n">
        <x:v>0.94</x:v>
      </x:c>
      <x:c r="G44" s="4" t="n">
        <x:v>0.9451159797945358</x:v>
      </x:c>
      <x:c r="H44" s="4" t="n">
        <x:v>0.14933212416877617</x:v>
      </x:c>
      <x:c r="I44" s="15" t="n">
        <x:v>0.13</x:v>
      </x:c>
      <x:c r="J44" s="15" t="n">
        <x:v>0.5560764495618631</x:v>
      </x:c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 t="str">
        <x:v>P_RULES_75_100</x:v>
      </x:c>
      <x:c r="D45" s="4" t="str">
        <x:v>rules</x:v>
      </x:c>
      <x:c r="E45" s="15" t="n">
        <x:v>0.75</x:v>
      </x:c>
      <x:c r="F45" s="15" t="n">
        <x:v>1</x:v>
      </x:c>
      <x:c r="G45" s="4" t="n">
        <x:v>1.0506316907576343</x:v>
      </x:c>
      <x:c r="H45" s="4" t="n">
        <x:v>0.22788010972528852</x:v>
      </x:c>
      <x:c r="I45" s="15" t="n">
        <x:v>0.357</x:v>
      </x:c>
      <x:c r="J45" s="15" t="n">
        <x:v>0.5691646028826445</x:v>
      </x:c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 t="str">
        <x:v>P_RULES_80_88</x:v>
      </x:c>
      <x:c r="D46" s="4" t="str">
        <x:v>rules</x:v>
      </x:c>
      <x:c r="E46" s="15" t="n">
        <x:v>0.8</x:v>
      </x:c>
      <x:c r="F46" s="15" t="n">
        <x:v>0.88</x:v>
      </x:c>
      <x:c r="G46" s="4" t="n">
        <x:v>0.4987230186831955</x:v>
      </x:c>
      <x:c r="H46" s="4" t="n">
        <x:v>-0.2041473020830386</x:v>
      </x:c>
      <x:c r="I46" s="15" t="n">
        <x:v>0.028</x:v>
      </x:c>
      <x:c r="J46" s="15" t="n">
        <x:v>0.5292661736658186</x:v>
      </x:c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 t="str">
        <x:v>P_RULES_80_94</x:v>
      </x:c>
      <x:c r="D47" s="4" t="str">
        <x:v>rules</x:v>
      </x:c>
      <x:c r="E47" s="15" t="n">
        <x:v>0.8</x:v>
      </x:c>
      <x:c r="F47" s="15" t="n">
        <x:v>0.94</x:v>
      </x:c>
      <x:c r="G47" s="4" t="n">
        <x:v>0.9451159797945358</x:v>
      </x:c>
      <x:c r="H47" s="4" t="n">
        <x:v>0.14933212416877617</x:v>
      </x:c>
      <x:c r="I47" s="15" t="n">
        <x:v>0.13</x:v>
      </x:c>
      <x:c r="J47" s="15" t="n">
        <x:v>0.5560764495618631</x:v>
      </x:c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 t="str">
        <x:v>P_RULES_80_100</x:v>
      </x:c>
      <x:c r="D48" s="4" t="str">
        <x:v>rules</x:v>
      </x:c>
      <x:c r="E48" s="15" t="n">
        <x:v>0.8</x:v>
      </x:c>
      <x:c r="F48" s="15" t="n">
        <x:v>1</x:v>
      </x:c>
      <x:c r="G48" s="4" t="n">
        <x:v>1.0506316907576343</x:v>
      </x:c>
      <x:c r="H48" s="4" t="n">
        <x:v>0.22788010972528852</x:v>
      </x:c>
      <x:c r="I48" s="15" t="n">
        <x:v>0.357</x:v>
      </x:c>
      <x:c r="J48" s="15" t="n">
        <x:v>0.5691646028826445</x:v>
      </x:c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 t="str">
        <x:v>P_RULES_85_88</x:v>
      </x:c>
      <x:c r="D49" s="4" t="str">
        <x:v>rules</x:v>
      </x:c>
      <x:c r="E49" s="15" t="n">
        <x:v>0.85</x:v>
      </x:c>
      <x:c r="F49" s="15" t="n">
        <x:v>0.88</x:v>
      </x:c>
      <x:c r="G49" s="4" t="n">
        <x:v>0.4987230186831955</x:v>
      </x:c>
      <x:c r="H49" s="4" t="n">
        <x:v>-0.2041473020830386</x:v>
      </x:c>
      <x:c r="I49" s="15" t="n">
        <x:v>0.028</x:v>
      </x:c>
      <x:c r="J49" s="15" t="n">
        <x:v>0.5292661736658186</x:v>
      </x:c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 t="str">
        <x:v>P_RULES_85_94</x:v>
      </x:c>
      <x:c r="D50" s="4" t="str">
        <x:v>rules</x:v>
      </x:c>
      <x:c r="E50" s="15" t="n">
        <x:v>0.85</x:v>
      </x:c>
      <x:c r="F50" s="15" t="n">
        <x:v>0.94</x:v>
      </x:c>
      <x:c r="G50" s="4" t="n">
        <x:v>0.9451159797945358</x:v>
      </x:c>
      <x:c r="H50" s="4" t="n">
        <x:v>0.14933212416877617</x:v>
      </x:c>
      <x:c r="I50" s="15" t="n">
        <x:v>0.13</x:v>
      </x:c>
      <x:c r="J50" s="15" t="n">
        <x:v>0.5560764495618631</x:v>
      </x:c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 t="str">
        <x:v>P_RULES_85_100</x:v>
      </x:c>
      <x:c r="D51" s="4" t="str">
        <x:v>rules</x:v>
      </x:c>
      <x:c r="E51" s="15" t="n">
        <x:v>0.85</x:v>
      </x:c>
      <x:c r="F51" s="15" t="n">
        <x:v>1</x:v>
      </x:c>
      <x:c r="G51" s="4" t="n">
        <x:v>1.0506316907576343</x:v>
      </x:c>
      <x:c r="H51" s="4" t="n">
        <x:v>0.22788010972528852</x:v>
      </x:c>
      <x:c r="I51" s="15" t="n">
        <x:v>0.357</x:v>
      </x:c>
      <x:c r="J51" s="15" t="n">
        <x:v>0.5691646028826445</x:v>
      </x:c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 t="str">
        <x:v>P_RULES_90_88</x:v>
      </x:c>
      <x:c r="D52" s="4" t="str">
        <x:v>rules</x:v>
      </x:c>
      <x:c r="E52" s="15" t="n">
        <x:v>0.9</x:v>
      </x:c>
      <x:c r="F52" s="15" t="n">
        <x:v>0.88</x:v>
      </x:c>
      <x:c r="G52" s="4" t="n">
        <x:v>0.4987230186831955</x:v>
      </x:c>
      <x:c r="H52" s="4" t="n">
        <x:v>-0.2041473020830386</x:v>
      </x:c>
      <x:c r="I52" s="15" t="n">
        <x:v>0.028</x:v>
      </x:c>
      <x:c r="J52" s="15" t="n">
        <x:v>0.5292661736658186</x:v>
      </x:c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 t="str">
        <x:v>P_RULES_90_94</x:v>
      </x:c>
      <x:c r="D53" s="4" t="str">
        <x:v>rules</x:v>
      </x:c>
      <x:c r="E53" s="15" t="n">
        <x:v>0.9</x:v>
      </x:c>
      <x:c r="F53" s="15" t="n">
        <x:v>0.94</x:v>
      </x:c>
      <x:c r="G53" s="4" t="n">
        <x:v>0.9451159797945358</x:v>
      </x:c>
      <x:c r="H53" s="4" t="n">
        <x:v>0.14933212416877617</x:v>
      </x:c>
      <x:c r="I53" s="15" t="n">
        <x:v>0.13</x:v>
      </x:c>
      <x:c r="J53" s="15" t="n">
        <x:v>0.5560764495618631</x:v>
      </x:c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 t="str">
        <x:v>P_RULES_90_100</x:v>
      </x:c>
      <x:c r="D54" s="4" t="str">
        <x:v>rules</x:v>
      </x:c>
      <x:c r="E54" s="15" t="n">
        <x:v>0.9</x:v>
      </x:c>
      <x:c r="F54" s="15" t="n">
        <x:v>1</x:v>
      </x:c>
      <x:c r="G54" s="4" t="n">
        <x:v>1.0506316907576343</x:v>
      </x:c>
      <x:c r="H54" s="4" t="n">
        <x:v>0.22788010972528852</x:v>
      </x:c>
      <x:c r="I54" s="15" t="n">
        <x:v>0.357</x:v>
      </x:c>
      <x:c r="J54" s="15" t="n">
        <x:v>0.5691646028826445</x:v>
      </x:c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 t="str">
        <x:v>P_RULES_95_88</x:v>
      </x:c>
      <x:c r="D55" s="4" t="str">
        <x:v>rules</x:v>
      </x:c>
      <x:c r="E55" s="15" t="n">
        <x:v>0.95</x:v>
      </x:c>
      <x:c r="F55" s="15" t="n">
        <x:v>0.88</x:v>
      </x:c>
      <x:c r="G55" s="4" t="n">
        <x:v>0.4987230186831955</x:v>
      </x:c>
      <x:c r="H55" s="4" t="n">
        <x:v>-0.2041473020830386</x:v>
      </x:c>
      <x:c r="I55" s="15" t="n">
        <x:v>0.028</x:v>
      </x:c>
      <x:c r="J55" s="15" t="n">
        <x:v>0.5292661736658186</x:v>
      </x:c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 t="str">
        <x:v>P_RULES_95_94</x:v>
      </x:c>
      <x:c r="D56" s="4" t="str">
        <x:v>rules</x:v>
      </x:c>
      <x:c r="E56" s="15" t="n">
        <x:v>0.95</x:v>
      </x:c>
      <x:c r="F56" s="15" t="n">
        <x:v>0.94</x:v>
      </x:c>
      <x:c r="G56" s="4" t="n">
        <x:v>0.9451159797945358</x:v>
      </x:c>
      <x:c r="H56" s="4" t="n">
        <x:v>0.14933212416877617</x:v>
      </x:c>
      <x:c r="I56" s="15" t="n">
        <x:v>0.13</x:v>
      </x:c>
      <x:c r="J56" s="15" t="n">
        <x:v>0.5560764495618631</x:v>
      </x:c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 t="str">
        <x:v>P_RULES_95_100</x:v>
      </x:c>
      <x:c r="D57" s="4" t="str">
        <x:v>rules</x:v>
      </x:c>
      <x:c r="E57" s="15" t="n">
        <x:v>0.95</x:v>
      </x:c>
      <x:c r="F57" s="15" t="n">
        <x:v>1</x:v>
      </x:c>
      <x:c r="G57" s="4" t="n">
        <x:v>1.0506316907576343</x:v>
      </x:c>
      <x:c r="H57" s="4" t="n">
        <x:v>0.22788010972528852</x:v>
      </x:c>
      <x:c r="I57" s="15" t="n">
        <x:v>0.357</x:v>
      </x:c>
      <x:c r="J57" s="15" t="n">
        <x:v>0.5691646028826445</x:v>
      </x:c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 t="str">
        <x:v>P_SOFTWARE_45_88</x:v>
      </x:c>
      <x:c r="D58" s="4" t="str">
        <x:v>software</x:v>
      </x:c>
      <x:c r="E58" s="15" t="n">
        <x:v>0.45</x:v>
      </x:c>
      <x:c r="F58" s="15" t="n">
        <x:v>0.88</x:v>
      </x:c>
      <x:c r="G58" s="4" t="n">
        <x:v>-0.8614541493322411</x:v>
      </x:c>
      <x:c r="H58" s="4" t="n">
        <x:v>-1.1532308183079174</x:v>
      </x:c>
      <x:c r="I58" s="15" t="n">
        <x:v>0.014</x:v>
      </x:c>
      <x:c r="J58" s="15" t="n">
        <x:v>0.45865262346360836</x:v>
      </x:c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 t="str">
        <x:v>P_SOFTWARE_45_94</x:v>
      </x:c>
      <x:c r="D59" s="4" t="str">
        <x:v>software</x:v>
      </x:c>
      <x:c r="E59" s="15" t="n">
        <x:v>0.45</x:v>
      </x:c>
      <x:c r="F59" s="15" t="n">
        <x:v>0.94</x:v>
      </x:c>
      <x:c r="G59" s="4" t="n">
        <x:v>-0.8522753402725598</x:v>
      </x:c>
      <x:c r="H59" s="4" t="n">
        <x:v>-1.1498452976171165</x:v>
      </x:c>
      <x:c r="I59" s="15" t="n">
        <x:v>0.016</x:v>
      </x:c>
      <x:c r="J59" s="15" t="n">
        <x:v>0.45877944111277885</x:v>
      </x:c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 t="str">
        <x:v>P_SOFTWARE_45_100</x:v>
      </x:c>
      <x:c r="D60" s="4" t="str">
        <x:v>software</x:v>
      </x:c>
      <x:c r="E60" s="15" t="n">
        <x:v>0.45</x:v>
      </x:c>
      <x:c r="F60" s="15" t="n">
        <x:v>1</x:v>
      </x:c>
      <x:c r="G60" s="4" t="n">
        <x:v>-0.8535855922545234</x:v>
      </x:c>
      <x:c r="H60" s="4" t="n">
        <x:v>-1.1526589235902063</x:v>
      </x:c>
      <x:c r="I60" s="15" t="n">
        <x:v>0.019</x:v>
      </x:c>
      <x:c r="J60" s="15" t="n">
        <x:v>0.45880831827598606</x:v>
      </x:c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 t="str">
        <x:v>P_SOFTWARE_50_88</x:v>
      </x:c>
      <x:c r="D61" s="4" t="str">
        <x:v>software</x:v>
      </x:c>
      <x:c r="E61" s="15" t="n">
        <x:v>0.5</x:v>
      </x:c>
      <x:c r="F61" s="15" t="n">
        <x:v>0.88</x:v>
      </x:c>
      <x:c r="G61" s="4" t="n">
        <x:v>0.007941513621692823</x:v>
      </x:c>
      <x:c r="H61" s="4" t="n">
        <x:v>-0.25776938748818223</x:v>
      </x:c>
      <x:c r="I61" s="15" t="n">
        <x:v>0.02</x:v>
      </x:c>
      <x:c r="J61" s="15" t="n">
        <x:v>0.4977876243459973</x:v>
      </x:c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 t="str">
        <x:v>P_SOFTWARE_50_94</x:v>
      </x:c>
      <x:c r="D62" s="4" t="str">
        <x:v>software</x:v>
      </x:c>
      <x:c r="E62" s="15" t="n">
        <x:v>0.5</x:v>
      </x:c>
      <x:c r="F62" s="15" t="n">
        <x:v>0.94</x:v>
      </x:c>
      <x:c r="G62" s="4" t="n">
        <x:v>0.06771734702374534</x:v>
      </x:c>
      <x:c r="H62" s="4" t="n">
        <x:v>-0.1497710788389075</x:v>
      </x:c>
      <x:c r="I62" s="15" t="n">
        <x:v>0.04</x:v>
      </x:c>
      <x:c r="J62" s="15" t="n">
        <x:v>0.4993244910271095</x:v>
      </x:c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 t="str">
        <x:v>P_SOFTWARE_50_100</x:v>
      </x:c>
      <x:c r="D63" s="4" t="str">
        <x:v>software</x:v>
      </x:c>
      <x:c r="E63" s="15" t="n">
        <x:v>0.5</x:v>
      </x:c>
      <x:c r="F63" s="15" t="n">
        <x:v>1</x:v>
      </x:c>
      <x:c r="G63" s="4" t="n">
        <x:v>0.06877280849247365</x:v>
      </x:c>
      <x:c r="H63" s="4" t="n">
        <x:v>-0.14736679994490817</x:v>
      </x:c>
      <x:c r="I63" s="15" t="n">
        <x:v>0.057</x:v>
      </x:c>
      <x:c r="J63" s="15" t="n">
        <x:v>0.49962836611293254</x:v>
      </x:c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 t="str">
        <x:v>P_SOFTWARE_55_88</x:v>
      </x:c>
      <x:c r="D64" s="4" t="str">
        <x:v>software</x:v>
      </x:c>
      <x:c r="E64" s="15" t="n">
        <x:v>0.55</x:v>
      </x:c>
      <x:c r="F64" s="15" t="n">
        <x:v>0.88</x:v>
      </x:c>
      <x:c r="G64" s="4" t="n">
        <x:v>0.40901619403474226</x:v>
      </x:c>
      <x:c r="H64" s="4" t="n">
        <x:v>-0.1279099885681642</x:v>
      </x:c>
      <x:c r="I64" s="15" t="n">
        <x:v>0.02</x:v>
      </x:c>
      <x:c r="J64" s="15" t="n">
        <x:v>0.5261930009498827</x:v>
      </x:c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 t="str">
        <x:v>P_SOFTWARE_55_94</x:v>
      </x:c>
      <x:c r="D65" s="4" t="str">
        <x:v>software</x:v>
      </x:c>
      <x:c r="E65" s="15" t="n">
        <x:v>0.55</x:v>
      </x:c>
      <x:c r="F65" s="15" t="n">
        <x:v>0.94</x:v>
      </x:c>
      <x:c r="G65" s="4" t="n">
        <x:v>0.5954963769768479</x:v>
      </x:c>
      <x:c r="H65" s="4" t="n">
        <x:v>0.16349723479211142</x:v>
      </x:c>
      <x:c r="I65" s="15" t="n">
        <x:v>0.068</x:v>
      </x:c>
      <x:c r="J65" s="15" t="n">
        <x:v>0.5358819219897405</x:v>
      </x:c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 t="str">
        <x:v>P_SOFTWARE_55_100</x:v>
      </x:c>
      <x:c r="D66" s="4" t="str">
        <x:v>software</x:v>
      </x:c>
      <x:c r="E66" s="15" t="n">
        <x:v>0.55</x:v>
      </x:c>
      <x:c r="F66" s="15" t="n">
        <x:v>1</x:v>
      </x:c>
      <x:c r="G66" s="4" t="n">
        <x:v>0.6103522934888591</x:v>
      </x:c>
      <x:c r="H66" s="4" t="n">
        <x:v>0.20803708530872175</x:v>
      </x:c>
      <x:c r="I66" s="15" t="n">
        <x:v>0.126</x:v>
      </x:c>
      <x:c r="J66" s="15" t="n">
        <x:v>0.5383802245741844</x:v>
      </x:c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 t="str">
        <x:v>P_SOFTWARE_60_88</x:v>
      </x:c>
      <x:c r="D67" s="4" t="str">
        <x:v>software</x:v>
      </x:c>
      <x:c r="E67" s="15" t="n">
        <x:v>0.6</x:v>
      </x:c>
      <x:c r="F67" s="15" t="n">
        <x:v>0.88</x:v>
      </x:c>
      <x:c r="G67" s="4" t="n">
        <x:v>0.5304319887696054</x:v>
      </x:c>
      <x:c r="H67" s="4" t="n">
        <x:v>-0.12729793135585019</x:v>
      </x:c>
      <x:c r="I67" s="15" t="n">
        <x:v>0.022</x:v>
      </x:c>
      <x:c r="J67" s="15" t="n">
        <x:v>0.5364190203774692</x:v>
      </x:c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 t="str">
        <x:v>P_SOFTWARE_60_94</x:v>
      </x:c>
      <x:c r="D68" s="4" t="str">
        <x:v>software</x:v>
      </x:c>
      <x:c r="E68" s="15" t="n">
        <x:v>0.6</x:v>
      </x:c>
      <x:c r="F68" s="15" t="n">
        <x:v>0.94</x:v>
      </x:c>
      <x:c r="G68" s="4" t="n">
        <x:v>0.8721954199880478</x:v>
      </x:c>
      <x:c r="H68" s="4" t="n">
        <x:v>0.19375776737148537</x:v>
      </x:c>
      <x:c r="I68" s="15" t="n">
        <x:v>0.095</x:v>
      </x:c>
      <x:c r="J68" s="15" t="n">
        <x:v>0.5581927734207256</x:v>
      </x:c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 t="str">
        <x:v>P_SOFTWARE_60_100</x:v>
      </x:c>
      <x:c r="D69" s="4" t="str">
        <x:v>software</x:v>
      </x:c>
      <x:c r="E69" s="15" t="n">
        <x:v>0.6</x:v>
      </x:c>
      <x:c r="F69" s="15" t="n">
        <x:v>1</x:v>
      </x:c>
      <x:c r="G69" s="4" t="n">
        <x:v>0.9369698673576271</x:v>
      </x:c>
      <x:c r="H69" s="4" t="n">
        <x:v>0.2856565513907787</x:v>
      </x:c>
      <x:c r="I69" s="15" t="n">
        <x:v>0.232</x:v>
      </x:c>
      <x:c r="J69" s="15" t="n">
        <x:v>0.566372144831903</x:v>
      </x:c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 t="str">
        <x:v>P_SOFTWARE_65_88</x:v>
      </x:c>
      <x:c r="D70" s="4" t="str">
        <x:v>software</x:v>
      </x:c>
      <x:c r="E70" s="15" t="n">
        <x:v>0.65</x:v>
      </x:c>
      <x:c r="F70" s="15" t="n">
        <x:v>0.88</x:v>
      </x:c>
      <x:c r="G70" s="4" t="n">
        <x:v>0.5513728129518997</x:v>
      </x:c>
      <x:c r="H70" s="4" t="n">
        <x:v>-0.12729793135585019</x:v>
      </x:c>
      <x:c r="I70" s="15" t="n">
        <x:v>0.022</x:v>
      </x:c>
      <x:c r="J70" s="15" t="n">
        <x:v>0.5382444168181862</x:v>
      </x:c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 t="str">
        <x:v>P_SOFTWARE_65_94</x:v>
      </x:c>
      <x:c r="D71" s="4" t="str">
        <x:v>software</x:v>
      </x:c>
      <x:c r="E71" s="15" t="n">
        <x:v>0.65</x:v>
      </x:c>
      <x:c r="F71" s="15" t="n">
        <x:v>0.94</x:v>
      </x:c>
      <x:c r="G71" s="4" t="n">
        <x:v>0.9537299422266553</x:v>
      </x:c>
      <x:c r="H71" s="4" t="n">
        <x:v>0.19375776737148537</x:v>
      </x:c>
      <x:c r="I71" s="15" t="n">
        <x:v>0.107</x:v>
      </x:c>
      <x:c r="J71" s="15" t="n">
        <x:v>0.5646799027901788</x:v>
      </x:c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 t="str">
        <x:v>P_SOFTWARE_65_100</x:v>
      </x:c>
      <x:c r="D72" s="4" t="str">
        <x:v>software</x:v>
      </x:c>
      <x:c r="E72" s="15" t="n">
        <x:v>0.65</x:v>
      </x:c>
      <x:c r="F72" s="15" t="n">
        <x:v>1</x:v>
      </x:c>
      <x:c r="G72" s="4" t="n">
        <x:v>1.0470379533061454</x:v>
      </x:c>
      <x:c r="H72" s="4" t="n">
        <x:v>0.2874919355815186</x:v>
      </x:c>
      <x:c r="I72" s="15" t="n">
        <x:v>0.283</x:v>
      </x:c>
      <x:c r="J72" s="15" t="n">
        <x:v>0.575914467529697</x:v>
      </x:c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 t="str">
        <x:v>P_SOFTWARE_70_88</x:v>
      </x:c>
      <x:c r="D73" s="4" t="str">
        <x:v>software</x:v>
      </x:c>
      <x:c r="E73" s="15" t="n">
        <x:v>0.7</x:v>
      </x:c>
      <x:c r="F73" s="15" t="n">
        <x:v>0.88</x:v>
      </x:c>
      <x:c r="G73" s="4" t="n">
        <x:v>0.5527942144115955</x:v>
      </x:c>
      <x:c r="H73" s="4" t="n">
        <x:v>-0.12729793135585019</x:v>
      </x:c>
      <x:c r="I73" s="15" t="n">
        <x:v>0.022</x:v>
      </x:c>
      <x:c r="J73" s="15" t="n">
        <x:v>0.5383818408716841</x:v>
      </x:c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 t="str">
        <x:v>P_SOFTWARE_70_94</x:v>
      </x:c>
      <x:c r="D74" s="4" t="str">
        <x:v>software</x:v>
      </x:c>
      <x:c r="E74" s="15" t="n">
        <x:v>0.7</x:v>
      </x:c>
      <x:c r="F74" s="15" t="n">
        <x:v>0.94</x:v>
      </x:c>
      <x:c r="G74" s="4" t="n">
        <x:v>0.9648438250378332</x:v>
      </x:c>
      <x:c r="H74" s="4" t="n">
        <x:v>0.19375776737148537</x:v>
      </x:c>
      <x:c r="I74" s="15" t="n">
        <x:v>0.108</x:v>
      </x:c>
      <x:c r="J74" s="15" t="n">
        <x:v>0.5655807582146294</x:v>
      </x:c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 t="str">
        <x:v>P_SOFTWARE_70_100</x:v>
      </x:c>
      <x:c r="D75" s="4" t="str">
        <x:v>software</x:v>
      </x:c>
      <x:c r="E75" s="15" t="n">
        <x:v>0.7</x:v>
      </x:c>
      <x:c r="F75" s="15" t="n">
        <x:v>1</x:v>
      </x:c>
      <x:c r="G75" s="4" t="n">
        <x:v>1.0629027392795238</x:v>
      </x:c>
      <x:c r="H75" s="4" t="n">
        <x:v>0.2874919355815186</x:v>
      </x:c>
      <x:c r="I75" s="15" t="n">
        <x:v>0.289</x:v>
      </x:c>
      <x:c r="J75" s="15" t="n">
        <x:v>0.5771431659964232</x:v>
      </x:c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 t="str">
        <x:v>P_SOFTWARE_75_88</x:v>
      </x:c>
      <x:c r="D76" s="4" t="str">
        <x:v>software</x:v>
      </x:c>
      <x:c r="E76" s="15" t="n">
        <x:v>0.75</x:v>
      </x:c>
      <x:c r="F76" s="15" t="n">
        <x:v>0.88</x:v>
      </x:c>
      <x:c r="G76" s="4" t="n">
        <x:v>0.5527942144115955</x:v>
      </x:c>
      <x:c r="H76" s="4" t="n">
        <x:v>-0.12729793135585019</x:v>
      </x:c>
      <x:c r="I76" s="15" t="n">
        <x:v>0.022</x:v>
      </x:c>
      <x:c r="J76" s="15" t="n">
        <x:v>0.5383818408716841</x:v>
      </x:c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 t="str">
        <x:v>P_SOFTWARE_75_94</x:v>
      </x:c>
      <x:c r="D77" s="4" t="str">
        <x:v>software</x:v>
      </x:c>
      <x:c r="E77" s="15" t="n">
        <x:v>0.75</x:v>
      </x:c>
      <x:c r="F77" s="15" t="n">
        <x:v>0.94</x:v>
      </x:c>
      <x:c r="G77" s="4" t="n">
        <x:v>0.964873545323965</x:v>
      </x:c>
      <x:c r="H77" s="4" t="n">
        <x:v>0.19375776737148537</x:v>
      </x:c>
      <x:c r="I77" s="15" t="n">
        <x:v>0.108</x:v>
      </x:c>
      <x:c r="J77" s="15" t="n">
        <x:v>0.5655807582146294</x:v>
      </x:c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 t="str">
        <x:v>P_SOFTWARE_75_100</x:v>
      </x:c>
      <x:c r="D78" s="4" t="str">
        <x:v>software</x:v>
      </x:c>
      <x:c r="E78" s="15" t="n">
        <x:v>0.75</x:v>
      </x:c>
      <x:c r="F78" s="15" t="n">
        <x:v>1</x:v>
      </x:c>
      <x:c r="G78" s="4" t="n">
        <x:v>1.0629572500633957</x:v>
      </x:c>
      <x:c r="H78" s="4" t="n">
        <x:v>0.2874919355815186</x:v>
      </x:c>
      <x:c r="I78" s="15" t="n">
        <x:v>0.289</x:v>
      </x:c>
      <x:c r="J78" s="15" t="n">
        <x:v>0.5771431659964232</x:v>
      </x:c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 t="str">
        <x:v>P_SOFTWARE_80_88</x:v>
      </x:c>
      <x:c r="D79" s="4" t="str">
        <x:v>software</x:v>
      </x:c>
      <x:c r="E79" s="15" t="n">
        <x:v>0.8</x:v>
      </x:c>
      <x:c r="F79" s="15" t="n">
        <x:v>0.88</x:v>
      </x:c>
      <x:c r="G79" s="4" t="n">
        <x:v>0.5527942144115955</x:v>
      </x:c>
      <x:c r="H79" s="4" t="n">
        <x:v>-0.12729793135585019</x:v>
      </x:c>
      <x:c r="I79" s="15" t="n">
        <x:v>0.022</x:v>
      </x:c>
      <x:c r="J79" s="15" t="n">
        <x:v>0.5383818408716841</x:v>
      </x:c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 t="str">
        <x:v>P_SOFTWARE_80_94</x:v>
      </x:c>
      <x:c r="D80" s="4" t="str">
        <x:v>software</x:v>
      </x:c>
      <x:c r="E80" s="15" t="n">
        <x:v>0.8</x:v>
      </x:c>
      <x:c r="F80" s="15" t="n">
        <x:v>0.94</x:v>
      </x:c>
      <x:c r="G80" s="4" t="n">
        <x:v>0.964873545323965</x:v>
      </x:c>
      <x:c r="H80" s="4" t="n">
        <x:v>0.19375776737148537</x:v>
      </x:c>
      <x:c r="I80" s="15" t="n">
        <x:v>0.108</x:v>
      </x:c>
      <x:c r="J80" s="15" t="n">
        <x:v>0.5655807582146294</x:v>
      </x:c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 t="str">
        <x:v>P_SOFTWARE_80_100</x:v>
      </x:c>
      <x:c r="D81" s="4" t="str">
        <x:v>software</x:v>
      </x:c>
      <x:c r="E81" s="15" t="n">
        <x:v>0.8</x:v>
      </x:c>
      <x:c r="F81" s="15" t="n">
        <x:v>1</x:v>
      </x:c>
      <x:c r="G81" s="4" t="n">
        <x:v>1.0629572500633957</x:v>
      </x:c>
      <x:c r="H81" s="4" t="n">
        <x:v>0.2874919355815186</x:v>
      </x:c>
      <x:c r="I81" s="15" t="n">
        <x:v>0.289</x:v>
      </x:c>
      <x:c r="J81" s="15" t="n">
        <x:v>0.5771431659964232</x:v>
      </x:c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 t="str">
        <x:v>P_SOFTWARE_85_88</x:v>
      </x:c>
      <x:c r="D82" s="4" t="str">
        <x:v>software</x:v>
      </x:c>
      <x:c r="E82" s="15" t="n">
        <x:v>0.85</x:v>
      </x:c>
      <x:c r="F82" s="15" t="n">
        <x:v>0.88</x:v>
      </x:c>
      <x:c r="G82" s="4" t="n">
        <x:v>0.5527942144115955</x:v>
      </x:c>
      <x:c r="H82" s="4" t="n">
        <x:v>-0.12729793135585019</x:v>
      </x:c>
      <x:c r="I82" s="15" t="n">
        <x:v>0.022</x:v>
      </x:c>
      <x:c r="J82" s="15" t="n">
        <x:v>0.5383818408716841</x:v>
      </x:c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 t="str">
        <x:v>P_SOFTWARE_85_94</x:v>
      </x:c>
      <x:c r="D83" s="4" t="str">
        <x:v>software</x:v>
      </x:c>
      <x:c r="E83" s="15" t="n">
        <x:v>0.85</x:v>
      </x:c>
      <x:c r="F83" s="15" t="n">
        <x:v>0.94</x:v>
      </x:c>
      <x:c r="G83" s="4" t="n">
        <x:v>0.964873545323965</x:v>
      </x:c>
      <x:c r="H83" s="4" t="n">
        <x:v>0.19375776737148537</x:v>
      </x:c>
      <x:c r="I83" s="15" t="n">
        <x:v>0.108</x:v>
      </x:c>
      <x:c r="J83" s="15" t="n">
        <x:v>0.5655807582146294</x:v>
      </x:c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 t="str">
        <x:v>P_SOFTWARE_85_100</x:v>
      </x:c>
      <x:c r="D84" s="4" t="str">
        <x:v>software</x:v>
      </x:c>
      <x:c r="E84" s="15" t="n">
        <x:v>0.85</x:v>
      </x:c>
      <x:c r="F84" s="15" t="n">
        <x:v>1</x:v>
      </x:c>
      <x:c r="G84" s="4" t="n">
        <x:v>1.0629572500633957</x:v>
      </x:c>
      <x:c r="H84" s="4" t="n">
        <x:v>0.2874919355815186</x:v>
      </x:c>
      <x:c r="I84" s="15" t="n">
        <x:v>0.289</x:v>
      </x:c>
      <x:c r="J84" s="15" t="n">
        <x:v>0.5771431659964232</x:v>
      </x:c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 t="str">
        <x:v>P_SOFTWARE_90_88</x:v>
      </x:c>
      <x:c r="D85" s="4" t="str">
        <x:v>software</x:v>
      </x:c>
      <x:c r="E85" s="15" t="n">
        <x:v>0.9</x:v>
      </x:c>
      <x:c r="F85" s="15" t="n">
        <x:v>0.88</x:v>
      </x:c>
      <x:c r="G85" s="4" t="n">
        <x:v>0.5527942144115955</x:v>
      </x:c>
      <x:c r="H85" s="4" t="n">
        <x:v>-0.12729793135585019</x:v>
      </x:c>
      <x:c r="I85" s="15" t="n">
        <x:v>0.022</x:v>
      </x:c>
      <x:c r="J85" s="15" t="n">
        <x:v>0.5383818408716841</x:v>
      </x:c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 t="str">
        <x:v>P_SOFTWARE_90_94</x:v>
      </x:c>
      <x:c r="D86" s="4" t="str">
        <x:v>software</x:v>
      </x:c>
      <x:c r="E86" s="15" t="n">
        <x:v>0.9</x:v>
      </x:c>
      <x:c r="F86" s="15" t="n">
        <x:v>0.94</x:v>
      </x:c>
      <x:c r="G86" s="4" t="n">
        <x:v>0.964873545323965</x:v>
      </x:c>
      <x:c r="H86" s="4" t="n">
        <x:v>0.19375776737148537</x:v>
      </x:c>
      <x:c r="I86" s="15" t="n">
        <x:v>0.108</x:v>
      </x:c>
      <x:c r="J86" s="15" t="n">
        <x:v>0.5655807582146294</x:v>
      </x:c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 t="str">
        <x:v>P_SOFTWARE_90_100</x:v>
      </x:c>
      <x:c r="D87" s="4" t="str">
        <x:v>software</x:v>
      </x:c>
      <x:c r="E87" s="15" t="n">
        <x:v>0.9</x:v>
      </x:c>
      <x:c r="F87" s="15" t="n">
        <x:v>1</x:v>
      </x:c>
      <x:c r="G87" s="4" t="n">
        <x:v>1.0629572500633957</x:v>
      </x:c>
      <x:c r="H87" s="4" t="n">
        <x:v>0.2874919355815186</x:v>
      </x:c>
      <x:c r="I87" s="15" t="n">
        <x:v>0.289</x:v>
      </x:c>
      <x:c r="J87" s="15" t="n">
        <x:v>0.5771431659964232</x:v>
      </x:c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 t="str">
        <x:v>P_SOFTWARE_95_88</x:v>
      </x:c>
      <x:c r="D88" s="4" t="str">
        <x:v>software</x:v>
      </x:c>
      <x:c r="E88" s="15" t="n">
        <x:v>0.95</x:v>
      </x:c>
      <x:c r="F88" s="15" t="n">
        <x:v>0.88</x:v>
      </x:c>
      <x:c r="G88" s="4" t="n">
        <x:v>0.5527942144115955</x:v>
      </x:c>
      <x:c r="H88" s="4" t="n">
        <x:v>-0.12729793135585019</x:v>
      </x:c>
      <x:c r="I88" s="15" t="n">
        <x:v>0.022</x:v>
      </x:c>
      <x:c r="J88" s="15" t="n">
        <x:v>0.5383818408716841</x:v>
      </x:c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 t="str">
        <x:v>P_SOFTWARE_95_94</x:v>
      </x:c>
      <x:c r="D89" s="4" t="str">
        <x:v>software</x:v>
      </x:c>
      <x:c r="E89" s="15" t="n">
        <x:v>0.95</x:v>
      </x:c>
      <x:c r="F89" s="15" t="n">
        <x:v>0.94</x:v>
      </x:c>
      <x:c r="G89" s="4" t="n">
        <x:v>0.964873545323965</x:v>
      </x:c>
      <x:c r="H89" s="4" t="n">
        <x:v>0.19375776737148537</x:v>
      </x:c>
      <x:c r="I89" s="15" t="n">
        <x:v>0.108</x:v>
      </x:c>
      <x:c r="J89" s="15" t="n">
        <x:v>0.5655807582146294</x:v>
      </x:c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 t="str">
        <x:v>P_SOFTWARE_95_100</x:v>
      </x:c>
      <x:c r="D90" s="4" t="str">
        <x:v>software</x:v>
      </x:c>
      <x:c r="E90" s="15" t="n">
        <x:v>0.95</x:v>
      </x:c>
      <x:c r="F90" s="15" t="n">
        <x:v>1</x:v>
      </x:c>
      <x:c r="G90" s="4" t="n">
        <x:v>1.0629572500633957</x:v>
      </x:c>
      <x:c r="H90" s="4" t="n">
        <x:v>0.2874919355815186</x:v>
      </x:c>
      <x:c r="I90" s="15" t="n">
        <x:v>0.289</x:v>
      </x:c>
      <x:c r="J90" s="15" t="n">
        <x:v>0.5771431659964232</x:v>
      </x:c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 t="str">
        <x:v>P_TARGETED_45_88</x:v>
      </x:c>
      <x:c r="D91" s="4" t="str">
        <x:v>targeted</x:v>
      </x:c>
      <x:c r="E91" s="15" t="n">
        <x:v>0.45</x:v>
      </x:c>
      <x:c r="F91" s="15" t="n">
        <x:v>0.88</x:v>
      </x:c>
      <x:c r="G91" s="4" t="n">
        <x:v>-2.175544854358248</x:v>
      </x:c>
      <x:c r="H91" s="4" t="n">
        <x:v>-2.5815063466620756</x:v>
      </x:c>
      <x:c r="I91" s="15" t="n">
        <x:v>0.003</x:v>
      </x:c>
      <x:c r="J91" s="15" t="n">
        <x:v>0.4588350231919211</x:v>
      </x:c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 t="str">
        <x:v>P_TARGETED_45_94</x:v>
      </x:c>
      <x:c r="D92" s="4" t="str">
        <x:v>targeted</x:v>
      </x:c>
      <x:c r="E92" s="15" t="n">
        <x:v>0.45</x:v>
      </x:c>
      <x:c r="F92" s="15" t="n">
        <x:v>0.94</x:v>
      </x:c>
      <x:c r="G92" s="4" t="n">
        <x:v>-2.1753271878866256</x:v>
      </x:c>
      <x:c r="H92" s="4" t="n">
        <x:v>-2.581419804502602</x:v>
      </x:c>
      <x:c r="I92" s="15" t="n">
        <x:v>0.002</x:v>
      </x:c>
      <x:c r="J92" s="15" t="n">
        <x:v>0.4588501848512524</x:v>
      </x:c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 t="str">
        <x:v>P_TARGETED_45_100</x:v>
      </x:c>
      <x:c r="D93" s="4" t="str">
        <x:v>targeted</x:v>
      </x:c>
      <x:c r="E93" s="15" t="n">
        <x:v>0.45</x:v>
      </x:c>
      <x:c r="F93" s="15" t="n">
        <x:v>1</x:v>
      </x:c>
      <x:c r="G93" s="4" t="n">
        <x:v>-2.1756514959693822</x:v>
      </x:c>
      <x:c r="H93" s="4" t="n">
        <x:v>-2.58080376509127</x:v>
      </x:c>
      <x:c r="I93" s="15" t="n">
        <x:v>0.003</x:v>
      </x:c>
      <x:c r="J93" s="15" t="n">
        <x:v>0.4588547028449327</x:v>
      </x:c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 t="str">
        <x:v>P_TARGETED_50_88</x:v>
      </x:c>
      <x:c r="D94" s="4" t="str">
        <x:v>targeted</x:v>
      </x:c>
      <x:c r="E94" s="15" t="n">
        <x:v>0.5</x:v>
      </x:c>
      <x:c r="F94" s="15" t="n">
        <x:v>0.88</x:v>
      </x:c>
      <x:c r="G94" s="4" t="n">
        <x:v>-1.1580029412824202</x:v>
      </x:c>
      <x:c r="H94" s="4" t="n">
        <x:v>-1.4594731219209973</x:v>
      </x:c>
      <x:c r="I94" s="15" t="n">
        <x:v>0.006</x:v>
      </x:c>
      <x:c r="J94" s="15" t="n">
        <x:v>0.49975056179514366</x:v>
      </x:c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 t="str">
        <x:v>P_TARGETED_50_94</x:v>
      </x:c>
      <x:c r="D95" s="4" t="str">
        <x:v>targeted</x:v>
      </x:c>
      <x:c r="E95" s="15" t="n">
        <x:v>0.5</x:v>
      </x:c>
      <x:c r="F95" s="15" t="n">
        <x:v>0.94</x:v>
      </x:c>
      <x:c r="G95" s="4" t="n">
        <x:v>-1.1497493008057718</x:v>
      </x:c>
      <x:c r="H95" s="4" t="n">
        <x:v>-1.4561295413642052</x:v>
      </x:c>
      <x:c r="I95" s="15" t="n">
        <x:v>0.005</x:v>
      </x:c>
      <x:c r="J95" s="15" t="n">
        <x:v>0.49984855368010317</x:v>
      </x:c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 t="str">
        <x:v>P_TARGETED_50_100</x:v>
      </x:c>
      <x:c r="D96" s="4" t="str">
        <x:v>targeted</x:v>
      </x:c>
      <x:c r="E96" s="15" t="n">
        <x:v>0.5</x:v>
      </x:c>
      <x:c r="F96" s="15" t="n">
        <x:v>1</x:v>
      </x:c>
      <x:c r="G96" s="4" t="n">
        <x:v>-1.1503480424060601</x:v>
      </x:c>
      <x:c r="H96" s="4" t="n">
        <x:v>-1.4566565712743273</x:v>
      </x:c>
      <x:c r="I96" s="15" t="n">
        <x:v>0.006</x:v>
      </x:c>
      <x:c r="J96" s="15" t="n">
        <x:v>0.4998699086043784</x:v>
      </x:c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 t="str">
        <x:v>P_TARGETED_55_88</x:v>
      </x:c>
      <x:c r="D97" s="4" t="str">
        <x:v>targeted</x:v>
      </x:c>
      <x:c r="E97" s="15" t="n">
        <x:v>0.55</x:v>
      </x:c>
      <x:c r="F97" s="15" t="n">
        <x:v>0.88</x:v>
      </x:c>
      <x:c r="G97" s="4" t="n">
        <x:v>-0.48177870322020555</x:v>
      </x:c>
      <x:c r="H97" s="4" t="n">
        <x:v>-0.8174184101548638</x:v>
      </x:c>
      <x:c r="I97" s="15" t="n">
        <x:v>0.007</x:v>
      </x:c>
      <x:c r="J97" s="15" t="n">
        <x:v>0.5396463634430227</x:v>
      </x:c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 t="str">
        <x:v>P_TARGETED_55_94</x:v>
      </x:c>
      <x:c r="D98" s="4" t="str">
        <x:v>targeted</x:v>
      </x:c>
      <x:c r="E98" s="15" t="n">
        <x:v>0.55</x:v>
      </x:c>
      <x:c r="F98" s="15" t="n">
        <x:v>0.94</x:v>
      </x:c>
      <x:c r="G98" s="4" t="n">
        <x:v>-0.4480946583356788</x:v>
      </x:c>
      <x:c r="H98" s="4" t="n">
        <x:v>-0.7832290365862606</x:v>
      </x:c>
      <x:c r="I98" s="15" t="n">
        <x:v>0.008</x:v>
      </x:c>
      <x:c r="J98" s="15" t="n">
        <x:v>0.5405607253627682</x:v>
      </x:c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 t="str">
        <x:v>P_TARGETED_55_100</x:v>
      </x:c>
      <x:c r="D99" s="4" t="str">
        <x:v>targeted</x:v>
      </x:c>
      <x:c r="E99" s="15" t="n">
        <x:v>0.55</x:v>
      </x:c>
      <x:c r="F99" s="15" t="n">
        <x:v>1</x:v>
      </x:c>
      <x:c r="G99" s="4" t="n">
        <x:v>-0.4443972794122125</x:v>
      </x:c>
      <x:c r="H99" s="4" t="n">
        <x:v>-0.7833746921071969</x:v>
      </x:c>
      <x:c r="I99" s="15" t="n">
        <x:v>0.012</x:v>
      </x:c>
      <x:c r="J99" s="15" t="n">
        <x:v>0.5406402384663602</x:v>
      </x:c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 t="str">
        <x:v>P_TARGETED_60_88</x:v>
      </x:c>
      <x:c r="D100" s="4" t="str">
        <x:v>targeted</x:v>
      </x:c>
      <x:c r="E100" s="15" t="n">
        <x:v>0.6</x:v>
      </x:c>
      <x:c r="F100" s="15" t="n">
        <x:v>0.88</x:v>
      </x:c>
      <x:c r="G100" s="4" t="n">
        <x:v>-0.11012232865298398</x:v>
      </x:c>
      <x:c r="H100" s="4" t="n">
        <x:v>-0.6707193071696504</x:v>
      </x:c>
      <x:c r="I100" s="15" t="n">
        <x:v>0.008</x:v>
      </x:c>
      <x:c r="J100" s="15" t="n">
        <x:v>0.5728969346153215</x:v>
      </x:c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 t="str">
        <x:v>P_TARGETED_60_94</x:v>
      </x:c>
      <x:c r="D101" s="4" t="str">
        <x:v>targeted</x:v>
      </x:c>
      <x:c r="E101" s="15" t="n">
        <x:v>0.6</x:v>
      </x:c>
      <x:c r="F101" s="15" t="n">
        <x:v>0.94</x:v>
      </x:c>
      <x:c r="G101" s="4" t="n">
        <x:v>0.016980886078900505</x:v>
      </x:c>
      <x:c r="H101" s="4" t="n">
        <x:v>-0.45483374162785656</x:v>
      </x:c>
      <x:c r="I101" s="15" t="n">
        <x:v>0.02</x:v>
      </x:c>
      <x:c r="J101" s="15" t="n">
        <x:v>0.5789102306832986</x:v>
      </x:c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 t="str">
        <x:v>P_TARGETED_60_100</x:v>
      </x:c>
      <x:c r="D102" s="4" t="str">
        <x:v>targeted</x:v>
      </x:c>
      <x:c r="E102" s="15" t="n">
        <x:v>0.6</x:v>
      </x:c>
      <x:c r="F102" s="15" t="n">
        <x:v>1</x:v>
      </x:c>
      <x:c r="G102" s="4" t="n">
        <x:v>0.028045379300093935</x:v>
      </x:c>
      <x:c r="H102" s="4" t="n">
        <x:v>-0.43350200428782787</x:v>
      </x:c>
      <x:c r="I102" s="15" t="n">
        <x:v>0.026</x:v>
      </x:c>
      <x:c r="J102" s="15" t="n">
        <x:v>0.5795001578700028</x:v>
      </x:c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 t="str">
        <x:v>P_TARGETED_65_88</x:v>
      </x:c>
      <x:c r="D103" s="4" t="str">
        <x:v>targeted</x:v>
      </x:c>
      <x:c r="E103" s="15" t="n">
        <x:v>0.65</x:v>
      </x:c>
      <x:c r="F103" s="15" t="n">
        <x:v>0.88</x:v>
      </x:c>
      <x:c r="G103" s="4" t="n">
        <x:v>0.055692443296309666</x:v>
      </x:c>
      <x:c r="H103" s="4" t="n">
        <x:v>-0.659416128973025</x:v>
      </x:c>
      <x:c r="I103" s="15" t="n">
        <x:v>0.009</x:v>
      </x:c>
      <x:c r="J103" s="15" t="n">
        <x:v>0.5908530960283688</x:v>
      </x:c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 t="str">
        <x:v>P_TARGETED_65_94</x:v>
      </x:c>
      <x:c r="D104" s="4" t="str">
        <x:v>targeted</x:v>
      </x:c>
      <x:c r="E104" s="15" t="n">
        <x:v>0.65</x:v>
      </x:c>
      <x:c r="F104" s="15" t="n">
        <x:v>0.94</x:v>
      </x:c>
      <x:c r="G104" s="4" t="n">
        <x:v>0.28975494467267476</x:v>
      </x:c>
      <x:c r="H104" s="4" t="n">
        <x:v>-0.36521346696104173</x:v>
      </x:c>
      <x:c r="I104" s="15" t="n">
        <x:v>0.041</x:v>
      </x:c>
      <x:c r="J104" s="15" t="n">
        <x:v>0.6064054836824425</x:v>
      </x:c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 t="str">
        <x:v>P_TARGETED_65_100</x:v>
      </x:c>
      <x:c r="D105" s="4" t="str">
        <x:v>targeted</x:v>
      </x:c>
      <x:c r="E105" s="15" t="n">
        <x:v>0.65</x:v>
      </x:c>
      <x:c r="F105" s="15" t="n">
        <x:v>1</x:v>
      </x:c>
      <x:c r="G105" s="4" t="n">
        <x:v>0.31374033019621583</x:v>
      </x:c>
      <x:c r="H105" s="4" t="n">
        <x:v>-0.3293970412878211</x:v>
      </x:c>
      <x:c r="I105" s="15" t="n">
        <x:v>0.055</x:v>
      </x:c>
      <x:c r="J105" s="15" t="n">
        <x:v>0.6079074145279936</x:v>
      </x:c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 t="str">
        <x:v>P_TARGETED_70_88</x:v>
      </x:c>
      <x:c r="D106" s="4" t="str">
        <x:v>targeted</x:v>
      </x:c>
      <x:c r="E106" s="15" t="n">
        <x:v>0.7</x:v>
      </x:c>
      <x:c r="F106" s="15" t="n">
        <x:v>0.88</x:v>
      </x:c>
      <x:c r="G106" s="4" t="n">
        <x:v>0.09212057283080913</x:v>
      </x:c>
      <x:c r="H106" s="4" t="n">
        <x:v>-0.659416128973025</x:v>
      </x:c>
      <x:c r="I106" s="15" t="n">
        <x:v>0.009</x:v>
      </x:c>
      <x:c r="J106" s="15" t="n">
        <x:v>0.595689518494256</x:v>
      </x:c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 t="str">
        <x:v>P_TARGETED_70_94</x:v>
      </x:c>
      <x:c r="D107" s="4" t="str">
        <x:v>targeted</x:v>
      </x:c>
      <x:c r="E107" s="15" t="n">
        <x:v>0.7</x:v>
      </x:c>
      <x:c r="F107" s="15" t="n">
        <x:v>0.94</x:v>
      </x:c>
      <x:c r="G107" s="4" t="n">
        <x:v>0.3738427320728333</x:v>
      </x:c>
      <x:c r="H107" s="4" t="n">
        <x:v>-0.36521346696104173</x:v>
      </x:c>
      <x:c r="I107" s="15" t="n">
        <x:v>0.051</x:v>
      </x:c>
      <x:c r="J107" s="15" t="n">
        <x:v>0.6165276971391471</x:v>
      </x:c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 t="str">
        <x:v>P_TARGETED_70_100</x:v>
      </x:c>
      <x:c r="D108" s="4" t="str">
        <x:v>targeted</x:v>
      </x:c>
      <x:c r="E108" s="15" t="n">
        <x:v>0.7</x:v>
      </x:c>
      <x:c r="F108" s="15" t="n">
        <x:v>1</x:v>
      </x:c>
      <x:c r="G108" s="4" t="n">
        <x:v>0.39806240715837693</x:v>
      </x:c>
      <x:c r="H108" s="4" t="n">
        <x:v>-0.3282379201734259</x:v>
      </x:c>
      <x:c r="I108" s="15" t="n">
        <x:v>0.066</x:v>
      </x:c>
      <x:c r="J108" s="15" t="n">
        <x:v>0.6182199840677601</x:v>
      </x:c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 t="str">
        <x:v>P_TARGETED_75_88</x:v>
      </x:c>
      <x:c r="D109" s="4" t="str">
        <x:v>targeted</x:v>
      </x:c>
      <x:c r="E109" s="15" t="n">
        <x:v>0.75</x:v>
      </x:c>
      <x:c r="F109" s="15" t="n">
        <x:v>0.88</x:v>
      </x:c>
      <x:c r="G109" s="4" t="n">
        <x:v>0.09344905604186067</x:v>
      </x:c>
      <x:c r="H109" s="4" t="n">
        <x:v>-0.659416128973025</x:v>
      </x:c>
      <x:c r="I109" s="15" t="n">
        <x:v>0.009</x:v>
      </x:c>
      <x:c r="J109" s="15" t="n">
        <x:v>0.5959081999684027</x:v>
      </x:c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 t="str">
        <x:v>P_TARGETED_75_94</x:v>
      </x:c>
      <x:c r="D110" s="4" t="str">
        <x:v>targeted</x:v>
      </x:c>
      <x:c r="E110" s="15" t="n">
        <x:v>0.75</x:v>
      </x:c>
      <x:c r="F110" s="15" t="n">
        <x:v>0.94</x:v>
      </x:c>
      <x:c r="G110" s="4" t="n">
        <x:v>0.37682968117645</x:v>
      </x:c>
      <x:c r="H110" s="4" t="n">
        <x:v>-0.36521346696104173</x:v>
      </x:c>
      <x:c r="I110" s="15" t="n">
        <x:v>0.051</x:v>
      </x:c>
      <x:c r="J110" s="15" t="n">
        <x:v>0.6169639122832357</x:v>
      </x:c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 t="str">
        <x:v>P_TARGETED_75_100</x:v>
      </x:c>
      <x:c r="D111" s="4" t="str">
        <x:v>targeted</x:v>
      </x:c>
      <x:c r="E111" s="15" t="n">
        <x:v>0.75</x:v>
      </x:c>
      <x:c r="F111" s="15" t="n">
        <x:v>1</x:v>
      </x:c>
      <x:c r="G111" s="4" t="n">
        <x:v>0.400999461747393</x:v>
      </x:c>
      <x:c r="H111" s="4" t="n">
        <x:v>-0.3282379201734259</x:v>
      </x:c>
      <x:c r="I111" s="15" t="n">
        <x:v>0.066</x:v>
      </x:c>
      <x:c r="J111" s="15" t="n">
        <x:v>0.6186008580089656</x:v>
      </x:c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 t="str">
        <x:v>P_TARGETED_80_88</x:v>
      </x:c>
      <x:c r="D112" s="4" t="str">
        <x:v>targeted</x:v>
      </x:c>
      <x:c r="E112" s="15" t="n">
        <x:v>0.8</x:v>
      </x:c>
      <x:c r="F112" s="15" t="n">
        <x:v>0.88</x:v>
      </x:c>
      <x:c r="G112" s="4" t="n">
        <x:v>0.09344905604186067</x:v>
      </x:c>
      <x:c r="H112" s="4" t="n">
        <x:v>-0.659416128973025</x:v>
      </x:c>
      <x:c r="I112" s="15" t="n">
        <x:v>0.009</x:v>
      </x:c>
      <x:c r="J112" s="15" t="n">
        <x:v>0.5959081999684027</x:v>
      </x:c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 t="str">
        <x:v>P_TARGETED_80_94</x:v>
      </x:c>
      <x:c r="D113" s="4" t="str">
        <x:v>targeted</x:v>
      </x:c>
      <x:c r="E113" s="15" t="n">
        <x:v>0.8</x:v>
      </x:c>
      <x:c r="F113" s="15" t="n">
        <x:v>0.94</x:v>
      </x:c>
      <x:c r="G113" s="4" t="n">
        <x:v>0.37682968117645</x:v>
      </x:c>
      <x:c r="H113" s="4" t="n">
        <x:v>-0.36521346696104173</x:v>
      </x:c>
      <x:c r="I113" s="15" t="n">
        <x:v>0.051</x:v>
      </x:c>
      <x:c r="J113" s="15" t="n">
        <x:v>0.6169639122832357</x:v>
      </x:c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 t="str">
        <x:v>P_TARGETED_80_100</x:v>
      </x:c>
      <x:c r="D114" s="4" t="str">
        <x:v>targeted</x:v>
      </x:c>
      <x:c r="E114" s="15" t="n">
        <x:v>0.8</x:v>
      </x:c>
      <x:c r="F114" s="15" t="n">
        <x:v>1</x:v>
      </x:c>
      <x:c r="G114" s="4" t="n">
        <x:v>0.400999461747393</x:v>
      </x:c>
      <x:c r="H114" s="4" t="n">
        <x:v>-0.3282379201734259</x:v>
      </x:c>
      <x:c r="I114" s="15" t="n">
        <x:v>0.066</x:v>
      </x:c>
      <x:c r="J114" s="15" t="n">
        <x:v>0.6186008580089656</x:v>
      </x:c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 t="str">
        <x:v>P_TARGETED_85_88</x:v>
      </x:c>
      <x:c r="D115" s="4" t="str">
        <x:v>targeted</x:v>
      </x:c>
      <x:c r="E115" s="15" t="n">
        <x:v>0.85</x:v>
      </x:c>
      <x:c r="F115" s="15" t="n">
        <x:v>0.88</x:v>
      </x:c>
      <x:c r="G115" s="4" t="n">
        <x:v>0.09344905604186067</x:v>
      </x:c>
      <x:c r="H115" s="4" t="n">
        <x:v>-0.659416128973025</x:v>
      </x:c>
      <x:c r="I115" s="15" t="n">
        <x:v>0.009</x:v>
      </x:c>
      <x:c r="J115" s="15" t="n">
        <x:v>0.5959081999684027</x:v>
      </x:c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 t="str">
        <x:v>P_TARGETED_85_94</x:v>
      </x:c>
      <x:c r="D116" s="4" t="str">
        <x:v>targeted</x:v>
      </x:c>
      <x:c r="E116" s="15" t="n">
        <x:v>0.85</x:v>
      </x:c>
      <x:c r="F116" s="15" t="n">
        <x:v>0.94</x:v>
      </x:c>
      <x:c r="G116" s="4" t="n">
        <x:v>0.37682968117645</x:v>
      </x:c>
      <x:c r="H116" s="4" t="n">
        <x:v>-0.36521346696104173</x:v>
      </x:c>
      <x:c r="I116" s="15" t="n">
        <x:v>0.051</x:v>
      </x:c>
      <x:c r="J116" s="15" t="n">
        <x:v>0.6169639122832357</x:v>
      </x:c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 t="str">
        <x:v>P_TARGETED_85_100</x:v>
      </x:c>
      <x:c r="D117" s="4" t="str">
        <x:v>targeted</x:v>
      </x:c>
      <x:c r="E117" s="15" t="n">
        <x:v>0.85</x:v>
      </x:c>
      <x:c r="F117" s="15" t="n">
        <x:v>1</x:v>
      </x:c>
      <x:c r="G117" s="4" t="n">
        <x:v>0.400999461747393</x:v>
      </x:c>
      <x:c r="H117" s="4" t="n">
        <x:v>-0.3282379201734259</x:v>
      </x:c>
      <x:c r="I117" s="15" t="n">
        <x:v>0.066</x:v>
      </x:c>
      <x:c r="J117" s="15" t="n">
        <x:v>0.6186008580089656</x:v>
      </x:c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 t="str">
        <x:v>P_TARGETED_90_88</x:v>
      </x:c>
      <x:c r="D118" s="4" t="str">
        <x:v>targeted</x:v>
      </x:c>
      <x:c r="E118" s="15" t="n">
        <x:v>0.9</x:v>
      </x:c>
      <x:c r="F118" s="15" t="n">
        <x:v>0.88</x:v>
      </x:c>
      <x:c r="G118" s="4" t="n">
        <x:v>0.09344905604186067</x:v>
      </x:c>
      <x:c r="H118" s="4" t="n">
        <x:v>-0.659416128973025</x:v>
      </x:c>
      <x:c r="I118" s="15" t="n">
        <x:v>0.009</x:v>
      </x:c>
      <x:c r="J118" s="15" t="n">
        <x:v>0.5959081999684027</x:v>
      </x:c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 t="str">
        <x:v>P_TARGETED_90_94</x:v>
      </x:c>
      <x:c r="D119" s="4" t="str">
        <x:v>targeted</x:v>
      </x:c>
      <x:c r="E119" s="15" t="n">
        <x:v>0.9</x:v>
      </x:c>
      <x:c r="F119" s="15" t="n">
        <x:v>0.94</x:v>
      </x:c>
      <x:c r="G119" s="4" t="n">
        <x:v>0.37682968117645</x:v>
      </x:c>
      <x:c r="H119" s="4" t="n">
        <x:v>-0.36521346696104173</x:v>
      </x:c>
      <x:c r="I119" s="15" t="n">
        <x:v>0.051</x:v>
      </x:c>
      <x:c r="J119" s="15" t="n">
        <x:v>0.6169639122832357</x:v>
      </x:c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 t="str">
        <x:v>P_TARGETED_90_100</x:v>
      </x:c>
      <x:c r="D120" s="4" t="str">
        <x:v>targeted</x:v>
      </x:c>
      <x:c r="E120" s="15" t="n">
        <x:v>0.9</x:v>
      </x:c>
      <x:c r="F120" s="15" t="n">
        <x:v>1</x:v>
      </x:c>
      <x:c r="G120" s="4" t="n">
        <x:v>0.400999461747393</x:v>
      </x:c>
      <x:c r="H120" s="4" t="n">
        <x:v>-0.3282379201734259</x:v>
      </x:c>
      <x:c r="I120" s="15" t="n">
        <x:v>0.066</x:v>
      </x:c>
      <x:c r="J120" s="15" t="n">
        <x:v>0.6186008580089656</x:v>
      </x:c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 t="str">
        <x:v>P_TARGETED_95_88</x:v>
      </x:c>
      <x:c r="D121" s="4" t="str">
        <x:v>targeted</x:v>
      </x:c>
      <x:c r="E121" s="15" t="n">
        <x:v>0.95</x:v>
      </x:c>
      <x:c r="F121" s="15" t="n">
        <x:v>0.88</x:v>
      </x:c>
      <x:c r="G121" s="4" t="n">
        <x:v>0.09344905604186067</x:v>
      </x:c>
      <x:c r="H121" s="4" t="n">
        <x:v>-0.659416128973025</x:v>
      </x:c>
      <x:c r="I121" s="15" t="n">
        <x:v>0.009</x:v>
      </x:c>
      <x:c r="J121" s="15" t="n">
        <x:v>0.5959081999684027</x:v>
      </x:c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 t="str">
        <x:v>P_TARGETED_95_94</x:v>
      </x:c>
      <x:c r="D122" s="4" t="str">
        <x:v>targeted</x:v>
      </x:c>
      <x:c r="E122" s="15" t="n">
        <x:v>0.95</x:v>
      </x:c>
      <x:c r="F122" s="15" t="n">
        <x:v>0.94</x:v>
      </x:c>
      <x:c r="G122" s="4" t="n">
        <x:v>0.37682968117645</x:v>
      </x:c>
      <x:c r="H122" s="4" t="n">
        <x:v>-0.36521346696104173</x:v>
      </x:c>
      <x:c r="I122" s="15" t="n">
        <x:v>0.051</x:v>
      </x:c>
      <x:c r="J122" s="15" t="n">
        <x:v>0.6169639122832357</x:v>
      </x:c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 t="str">
        <x:v>P_TARGETED_95_100</x:v>
      </x:c>
      <x:c r="D123" s="4" t="str">
        <x:v>targeted</x:v>
      </x:c>
      <x:c r="E123" s="15" t="n">
        <x:v>0.95</x:v>
      </x:c>
      <x:c r="F123" s="15" t="n">
        <x:v>1</x:v>
      </x:c>
      <x:c r="G123" s="4" t="n">
        <x:v>0.400999461747393</x:v>
      </x:c>
      <x:c r="H123" s="4" t="n">
        <x:v>-0.3282379201734259</x:v>
      </x:c>
      <x:c r="I123" s="15" t="n">
        <x:v>0.066</x:v>
      </x:c>
      <x:c r="J123" s="15" t="n">
        <x:v>0.6186008580089656</x:v>
      </x:c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 t="str">
        <x:v>P_LARGE_45_88</x:v>
      </x:c>
      <x:c r="D124" s="4" t="str">
        <x:v>large</x:v>
      </x:c>
      <x:c r="E124" s="15" t="n">
        <x:v>0.45</x:v>
      </x:c>
      <x:c r="F124" s="15" t="n">
        <x:v>0.88</x:v>
      </x:c>
      <x:c r="G124" s="4" t="n">
        <x:v>-6.25751881648145</x:v>
      </x:c>
      <x:c r="H124" s="4" t="n">
        <x:v>-7.06363621591561</x:v>
      </x:c>
      <x:c r="I124" s="15" t="n">
        <x:v>0.001</x:v>
      </x:c>
      <x:c r="J124" s="15" t="n">
        <x:v>0.4588547028449327</x:v>
      </x:c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 t="str">
        <x:v>P_LARGE_45_94</x:v>
      </x:c>
      <x:c r="D125" s="4" t="str">
        <x:v>large</x:v>
      </x:c>
      <x:c r="E125" s="15" t="n">
        <x:v>0.45</x:v>
      </x:c>
      <x:c r="F125" s="15" t="n">
        <x:v>0.94</x:v>
      </x:c>
      <x:c r="G125" s="4" t="n">
        <x:v>-6.257638587010498</x:v>
      </x:c>
      <x:c r="H125" s="4" t="n">
        <x:v>-7.0631333815937225</x:v>
      </x:c>
      <x:c r="I125" s="15" t="n">
        <x:v>0.001</x:v>
      </x:c>
      <x:c r="J125" s="15" t="n">
        <x:v>0.4588547028449326</x:v>
      </x:c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 t="str">
        <x:v>P_LARGE_45_100</x:v>
      </x:c>
      <x:c r="D126" s="4" t="str">
        <x:v>large</x:v>
      </x:c>
      <x:c r="E126" s="15" t="n">
        <x:v>0.45</x:v>
      </x:c>
      <x:c r="F126" s="15" t="n">
        <x:v>1</x:v>
      </x:c>
      <x:c r="G126" s="4" t="n">
        <x:v>-6.257703653823502</x:v>
      </x:c>
      <x:c r="H126" s="4" t="n">
        <x:v>-7.063064109212349</x:v>
      </x:c>
      <x:c r="I126" s="15" t="n">
        <x:v>0.001</x:v>
      </x:c>
      <x:c r="J126" s="15" t="n">
        <x:v>0.4588547028449326</x:v>
      </x:c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 t="str">
        <x:v>P_LARGE_50_88</x:v>
      </x:c>
      <x:c r="D127" s="4" t="str">
        <x:v>large</x:v>
      </x:c>
      <x:c r="E127" s="15" t="n">
        <x:v>0.5</x:v>
      </x:c>
      <x:c r="F127" s="15" t="n">
        <x:v>0.88</x:v>
      </x:c>
      <x:c r="G127" s="4" t="n">
        <x:v>-5.352959647809731</x:v>
      </x:c>
      <x:c r="H127" s="4" t="n">
        <x:v>-6.126619865217861</x:v>
      </x:c>
      <x:c r="I127" s="15" t="n">
        <x:v>0.001</x:v>
      </x:c>
      <x:c r="J127" s="15" t="n">
        <x:v>0.49992039628717094</x:v>
      </x:c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 t="str">
        <x:v>P_LARGE_50_94</x:v>
      </x:c>
      <x:c r="D128" s="4" t="str">
        <x:v>large</x:v>
      </x:c>
      <x:c r="E128" s="15" t="n">
        <x:v>0.5</x:v>
      </x:c>
      <x:c r="F128" s="15" t="n">
        <x:v>0.94</x:v>
      </x:c>
      <x:c r="G128" s="4" t="n">
        <x:v>-5.350910787633163</x:v>
      </x:c>
      <x:c r="H128" s="4" t="n">
        <x:v>-6.126261860914826</x:v>
      </x:c>
      <x:c r="I128" s="15" t="n">
        <x:v>0.001</x:v>
      </x:c>
      <x:c r="J128" s="15" t="n">
        <x:v>0.4999219454694285</x:v>
      </x:c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 t="str">
        <x:v>P_LARGE_50_100</x:v>
      </x:c>
      <x:c r="D129" s="4" t="str">
        <x:v>large</x:v>
      </x:c>
      <x:c r="E129" s="15" t="n">
        <x:v>0.5</x:v>
      </x:c>
      <x:c r="F129" s="15" t="n">
        <x:v>1</x:v>
      </x:c>
      <x:c r="G129" s="4" t="n">
        <x:v>-5.350742972557353</x:v>
      </x:c>
      <x:c r="H129" s="4" t="n">
        <x:v>-6.126081443670476</x:v>
      </x:c>
      <x:c r="I129" s="15" t="n">
        <x:v>0.001</x:v>
      </x:c>
      <x:c r="J129" s="15" t="n">
        <x:v>0.4999273133574329</x:v>
      </x:c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 t="str">
        <x:v>P_LARGE_55_88</x:v>
      </x:c>
      <x:c r="D130" s="4" t="str">
        <x:v>large</x:v>
      </x:c>
      <x:c r="E130" s="15" t="n">
        <x:v>0.55</x:v>
      </x:c>
      <x:c r="F130" s="15" t="n">
        <x:v>0.88</x:v>
      </x:c>
      <x:c r="G130" s="4" t="n">
        <x:v>-4.620401911506105</x:v>
      </x:c>
      <x:c r="H130" s="4" t="n">
        <x:v>-5.371922180619254</x:v>
      </x:c>
      <x:c r="I130" s="15" t="n">
        <x:v>0.001</x:v>
      </x:c>
      <x:c r="J130" s="15" t="n">
        <x:v>0.5409274087240068</x:v>
      </x:c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 t="str">
        <x:v>P_LARGE_55_94</x:v>
      </x:c>
      <x:c r="D131" s="4" t="str">
        <x:v>large</x:v>
      </x:c>
      <x:c r="E131" s="15" t="n">
        <x:v>0.55</x:v>
      </x:c>
      <x:c r="F131" s="15" t="n">
        <x:v>0.94</x:v>
      </x:c>
      <x:c r="G131" s="4" t="n">
        <x:v>-4.61223797327257</x:v>
      </x:c>
      <x:c r="H131" s="4" t="n">
        <x:v>-5.366876884161595</x:v>
      </x:c>
      <x:c r="I131" s="15" t="n">
        <x:v>0.001</x:v>
      </x:c>
      <x:c r="J131" s="15" t="n">
        <x:v>0.540943609756255</x:v>
      </x:c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 t="str">
        <x:v>P_LARGE_55_100</x:v>
      </x:c>
      <x:c r="D132" s="4" t="str">
        <x:v>large</x:v>
      </x:c>
      <x:c r="E132" s="15" t="n">
        <x:v>0.55</x:v>
      </x:c>
      <x:c r="F132" s="15" t="n">
        <x:v>1</x:v>
      </x:c>
      <x:c r="G132" s="4" t="n">
        <x:v>-4.611587600953662</x:v>
      </x:c>
      <x:c r="H132" s="4" t="n">
        <x:v>-5.366281951638966</x:v>
      </x:c>
      <x:c r="I132" s="15" t="n">
        <x:v>0.002</x:v>
      </x:c>
      <x:c r="J132" s="15" t="n">
        <x:v>0.5409549548428711</x:v>
      </x:c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 t="str">
        <x:v>P_LARGE_60_88</x:v>
      </x:c>
      <x:c r="D133" s="4" t="str">
        <x:v>large</x:v>
      </x:c>
      <x:c r="E133" s="15" t="n">
        <x:v>0.6</x:v>
      </x:c>
      <x:c r="F133" s="15" t="n">
        <x:v>0.88</x:v>
      </x:c>
      <x:c r="G133" s="4" t="n">
        <x:v>-4.070623270634238</x:v>
      </x:c>
      <x:c r="H133" s="4" t="n">
        <x:v>-4.823594628038157</x:v>
      </x:c>
      <x:c r="I133" s="15" t="n">
        <x:v>0.002</x:v>
      </x:c>
      <x:c r="J133" s="15" t="n">
        <x:v>0.581744227611569</x:v>
      </x:c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 t="str">
        <x:v>P_LARGE_60_94</x:v>
      </x:c>
      <x:c r="D134" s="4" t="str">
        <x:v>large</x:v>
      </x:c>
      <x:c r="E134" s="15" t="n">
        <x:v>0.6</x:v>
      </x:c>
      <x:c r="F134" s="15" t="n">
        <x:v>0.94</x:v>
      </x:c>
      <x:c r="G134" s="4" t="n">
        <x:v>-4.042851892895833</x:v>
      </x:c>
      <x:c r="H134" s="4" t="n">
        <x:v>-4.789409790509902</x:v>
      </x:c>
      <x:c r="I134" s="15" t="n">
        <x:v>0.002</x:v>
      </x:c>
      <x:c r="J134" s="15" t="n">
        <x:v>0.5818295618686502</x:v>
      </x:c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 t="str">
        <x:v>P_LARGE_60_100</x:v>
      </x:c>
      <x:c r="D135" s="4" t="str">
        <x:v>large</x:v>
      </x:c>
      <x:c r="E135" s="15" t="n">
        <x:v>0.6</x:v>
      </x:c>
      <x:c r="F135" s="15" t="n">
        <x:v>1</x:v>
      </x:c>
      <x:c r="G135" s="4" t="n">
        <x:v>-4.039317563392355</x:v>
      </x:c>
      <x:c r="H135" s="4" t="n">
        <x:v>-4.789437243394498</x:v>
      </x:c>
      <x:c r="I135" s="15" t="n">
        <x:v>0.003</x:v>
      </x:c>
      <x:c r="J135" s="15" t="n">
        <x:v>0.5818666063392193</x:v>
      </x:c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 t="str">
        <x:v>P_LARGE_65_88</x:v>
      </x:c>
      <x:c r="D136" s="4" t="str">
        <x:v>large</x:v>
      </x:c>
      <x:c r="E136" s="15" t="n">
        <x:v>0.65</x:v>
      </x:c>
      <x:c r="F136" s="15" t="n">
        <x:v>0.88</x:v>
      </x:c>
      <x:c r="G136" s="4" t="n">
        <x:v>-3.624598015102615</x:v>
      </x:c>
      <x:c r="H136" s="4" t="n">
        <x:v>-4.417798270816594</x:v>
      </x:c>
      <x:c r="I136" s="15" t="n">
        <x:v>0.003</x:v>
      </x:c>
      <x:c r="J136" s="15" t="n">
        <x:v>0.62151892715141</x:v>
      </x:c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 t="str">
        <x:v>P_LARGE_65_94</x:v>
      </x:c>
      <x:c r="D137" s="4" t="str">
        <x:v>large</x:v>
      </x:c>
      <x:c r="E137" s="15" t="n">
        <x:v>0.65</x:v>
      </x:c>
      <x:c r="F137" s="15" t="n">
        <x:v>0.94</x:v>
      </x:c>
      <x:c r="G137" s="4" t="n">
        <x:v>-3.5719223835112444</x:v>
      </x:c>
      <x:c r="H137" s="4" t="n">
        <x:v>-4.364315095266977</x:v>
      </x:c>
      <x:c r="I137" s="15" t="n">
        <x:v>0.004</x:v>
      </x:c>
      <x:c r="J137" s="15" t="n">
        <x:v>0.6219186676196712</x:v>
      </x:c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 t="str">
        <x:v>P_LARGE_65_100</x:v>
      </x:c>
      <x:c r="D138" s="4" t="str">
        <x:v>large</x:v>
      </x:c>
      <x:c r="E138" s="15" t="n">
        <x:v>0.65</x:v>
      </x:c>
      <x:c r="F138" s="15" t="n">
        <x:v>1</x:v>
      </x:c>
      <x:c r="G138" s="4" t="n">
        <x:v>-3.5629256964974165</x:v>
      </x:c>
      <x:c r="H138" s="4" t="n">
        <x:v>-4.355053549106887</x:v>
      </x:c>
      <x:c r="I138" s="15" t="n">
        <x:v>0.005</x:v>
      </x:c>
      <x:c r="J138" s="15" t="n">
        <x:v>0.6219910116016016</x:v>
      </x:c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 t="str">
        <x:v>P_LARGE_70_88</x:v>
      </x:c>
      <x:c r="D139" s="4" t="str">
        <x:v>large</x:v>
      </x:c>
      <x:c r="E139" s="15" t="n">
        <x:v>0.7</x:v>
      </x:c>
      <x:c r="F139" s="15" t="n">
        <x:v>0.88</x:v>
      </x:c>
      <x:c r="G139" s="4" t="n">
        <x:v>-3.375243399999543</x:v>
      </x:c>
      <x:c r="H139" s="4" t="n">
        <x:v>-4.248075774611192</x:v>
      </x:c>
      <x:c r="I139" s="15" t="n">
        <x:v>0.004</x:v>
      </x:c>
      <x:c r="J139" s="15" t="n">
        <x:v>0.6549008577191059</x:v>
      </x:c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 t="str">
        <x:v>P_LARGE_70_94</x:v>
      </x:c>
      <x:c r="D140" s="4" t="str">
        <x:v>large</x:v>
      </x:c>
      <x:c r="E140" s="15" t="n">
        <x:v>0.7</x:v>
      </x:c>
      <x:c r="F140" s="15" t="n">
        <x:v>0.94</x:v>
      </x:c>
      <x:c r="G140" s="4" t="n">
        <x:v>-3.2864978946243064</x:v>
      </x:c>
      <x:c r="H140" s="4" t="n">
        <x:v>-4.142918659795437</x:v>
      </x:c>
      <x:c r="I140" s="15" t="n">
        <x:v>0.005</x:v>
      </x:c>
      <x:c r="J140" s="15" t="n">
        <x:v>0.656652522342283</x:v>
      </x:c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 t="str">
        <x:v>P_LARGE_70_100</x:v>
      </x:c>
      <x:c r="D141" s="4" t="str">
        <x:v>large</x:v>
      </x:c>
      <x:c r="E141" s="15" t="n">
        <x:v>0.7</x:v>
      </x:c>
      <x:c r="F141" s="15" t="n">
        <x:v>1</x:v>
      </x:c>
      <x:c r="G141" s="4" t="n">
        <x:v>-3.2774289896118947</x:v>
      </x:c>
      <x:c r="H141" s="4" t="n">
        <x:v>-4.128633179463224</x:v>
      </x:c>
      <x:c r="I141" s="15" t="n">
        <x:v>0.006</x:v>
      </x:c>
      <x:c r="J141" s="15" t="n">
        <x:v>0.6566607009043042</x:v>
      </x:c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 t="str">
        <x:v>P_LARGE_75_88</x:v>
      </x:c>
      <x:c r="D142" s="4" t="str">
        <x:v>large</x:v>
      </x:c>
      <x:c r="E142" s="15" t="n">
        <x:v>0.75</x:v>
      </x:c>
      <x:c r="F142" s="15" t="n">
        <x:v>0.88</x:v>
      </x:c>
      <x:c r="G142" s="4" t="n">
        <x:v>-3.2964510342923985</x:v>
      </x:c>
      <x:c r="H142" s="4" t="n">
        <x:v>-4.225543040631351</x:v>
      </x:c>
      <x:c r="I142" s="15" t="n">
        <x:v>0.005</x:v>
      </x:c>
      <x:c r="J142" s="15" t="n">
        <x:v>0.6718999519163015</x:v>
      </x:c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 t="str">
        <x:v>P_LARGE_75_94</x:v>
      </x:c>
      <x:c r="D143" s="4" t="str">
        <x:v>large</x:v>
      </x:c>
      <x:c r="E143" s="15" t="n">
        <x:v>0.75</x:v>
      </x:c>
      <x:c r="F143" s="15" t="n">
        <x:v>0.94</x:v>
      </x:c>
      <x:c r="G143" s="4" t="n">
        <x:v>-3.203424888156901</x:v>
      </x:c>
      <x:c r="H143" s="4" t="n">
        <x:v>-4.115407038738465</x:v>
      </x:c>
      <x:c r="I143" s="15" t="n">
        <x:v>0.006</x:v>
      </x:c>
      <x:c r="J143" s="15" t="n">
        <x:v>0.6739703299258227</x:v>
      </x:c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 t="str">
        <x:v>P_LARGE_75_100</x:v>
      </x:c>
      <x:c r="D144" s="4" t="str">
        <x:v>large</x:v>
      </x:c>
      <x:c r="E144" s="15" t="n">
        <x:v>0.75</x:v>
      </x:c>
      <x:c r="F144" s="15" t="n">
        <x:v>1</x:v>
      </x:c>
      <x:c r="G144" s="4" t="n">
        <x:v>-3.1950154444574577</x:v>
      </x:c>
      <x:c r="H144" s="4" t="n">
        <x:v>-4.103564499963665</x:v>
      </x:c>
      <x:c r="I144" s="15" t="n">
        <x:v>0.006</x:v>
      </x:c>
      <x:c r="J144" s="15" t="n">
        <x:v>0.6740536954689669</x:v>
      </x:c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 t="str">
        <x:v>P_LARGE_80_88</x:v>
      </x:c>
      <x:c r="D145" s="4" t="str">
        <x:v>large</x:v>
      </x:c>
      <x:c r="E145" s="15" t="n">
        <x:v>0.8</x:v>
      </x:c>
      <x:c r="F145" s="15" t="n">
        <x:v>0.88</x:v>
      </x:c>
      <x:c r="G145" s="4" t="n">
        <x:v>-3.288751341736768</x:v>
      </x:c>
      <x:c r="H145" s="4" t="n">
        <x:v>-4.225543040631351</x:v>
      </x:c>
      <x:c r="I145" s="15" t="n">
        <x:v>0.005</x:v>
      </x:c>
      <x:c r="J145" s="15" t="n">
        <x:v>0.674388520713226</x:v>
      </x:c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 t="str">
        <x:v>P_LARGE_80_94</x:v>
      </x:c>
      <x:c r="D146" s="4" t="str">
        <x:v>large</x:v>
      </x:c>
      <x:c r="E146" s="15" t="n">
        <x:v>0.8</x:v>
      </x:c>
      <x:c r="F146" s="15" t="n">
        <x:v>0.94</x:v>
      </x:c>
      <x:c r="G146" s="4" t="n">
        <x:v>-3.195422740910721</x:v>
      </x:c>
      <x:c r="H146" s="4" t="n">
        <x:v>-4.115407038738465</x:v>
      </x:c>
      <x:c r="I146" s="15" t="n">
        <x:v>0.006</x:v>
      </x:c>
      <x:c r="J146" s="15" t="n">
        <x:v>0.67661299276164</x:v>
      </x:c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 t="str">
        <x:v>P_LARGE_80_100</x:v>
      </x:c>
      <x:c r="D147" s="4" t="str">
        <x:v>large</x:v>
      </x:c>
      <x:c r="E147" s="15" t="n">
        <x:v>0.8</x:v>
      </x:c>
      <x:c r="F147" s="15" t="n">
        <x:v>1</x:v>
      </x:c>
      <x:c r="G147" s="4" t="n">
        <x:v>-3.187034509456096</x:v>
      </x:c>
      <x:c r="H147" s="4" t="n">
        <x:v>-4.100934890579239</x:v>
      </x:c>
      <x:c r="I147" s="15" t="n">
        <x:v>0.006</x:v>
      </x:c>
      <x:c r="J147" s="15" t="n">
        <x:v>0.6766569945601345</x:v>
      </x:c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 t="str">
        <x:v>P_LARGE_85_88</x:v>
      </x:c>
      <x:c r="D148" s="4" t="str">
        <x:v>large</x:v>
      </x:c>
      <x:c r="E148" s="15" t="n">
        <x:v>0.85</x:v>
      </x:c>
      <x:c r="F148" s="15" t="n">
        <x:v>0.88</x:v>
      </x:c>
      <x:c r="G148" s="4" t="n">
        <x:v>-3.288741927295988</x:v>
      </x:c>
      <x:c r="H148" s="4" t="n">
        <x:v>-4.225543040631351</x:v>
      </x:c>
      <x:c r="I148" s="15" t="n">
        <x:v>0.005</x:v>
      </x:c>
      <x:c r="J148" s="15" t="n">
        <x:v>0.6743899206234321</x:v>
      </x:c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 t="str">
        <x:v>P_LARGE_85_94</x:v>
      </x:c>
      <x:c r="D149" s="4" t="str">
        <x:v>large</x:v>
      </x:c>
      <x:c r="E149" s="15" t="n">
        <x:v>0.85</x:v>
      </x:c>
      <x:c r="F149" s="15" t="n">
        <x:v>0.94</x:v>
      </x:c>
      <x:c r="G149" s="4" t="n">
        <x:v>-3.195410603215148</x:v>
      </x:c>
      <x:c r="H149" s="4" t="n">
        <x:v>-4.115407038738465</x:v>
      </x:c>
      <x:c r="I149" s="15" t="n">
        <x:v>0.006</x:v>
      </x:c>
      <x:c r="J149" s="15" t="n">
        <x:v>0.67661299276164</x:v>
      </x:c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 t="str">
        <x:v>P_LARGE_85_100</x:v>
      </x:c>
      <x:c r="D150" s="4" t="str">
        <x:v>large</x:v>
      </x:c>
      <x:c r="E150" s="15" t="n">
        <x:v>0.85</x:v>
      </x:c>
      <x:c r="F150" s="15" t="n">
        <x:v>1</x:v>
      </x:c>
      <x:c r="G150" s="4" t="n">
        <x:v>-3.187023965959943</x:v>
      </x:c>
      <x:c r="H150" s="4" t="n">
        <x:v>-4.100934890579239</x:v>
      </x:c>
      <x:c r="I150" s="15" t="n">
        <x:v>0.006</x:v>
      </x:c>
      <x:c r="J150" s="15" t="n">
        <x:v>0.6766585397705077</x:v>
      </x:c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 t="str">
        <x:v>P_LARGE_90_88</x:v>
      </x:c>
      <x:c r="D151" s="4" t="str">
        <x:v>large</x:v>
      </x:c>
      <x:c r="E151" s="15" t="n">
        <x:v>0.9</x:v>
      </x:c>
      <x:c r="F151" s="15" t="n">
        <x:v>0.88</x:v>
      </x:c>
      <x:c r="G151" s="4" t="n">
        <x:v>-3.288741927295988</x:v>
      </x:c>
      <x:c r="H151" s="4" t="n">
        <x:v>-4.225543040631351</x:v>
      </x:c>
      <x:c r="I151" s="15" t="n">
        <x:v>0.005</x:v>
      </x:c>
      <x:c r="J151" s="15" t="n">
        <x:v>0.6743899206234321</x:v>
      </x:c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 t="str">
        <x:v>P_LARGE_90_94</x:v>
      </x:c>
      <x:c r="D152" s="4" t="str">
        <x:v>large</x:v>
      </x:c>
      <x:c r="E152" s="15" t="n">
        <x:v>0.9</x:v>
      </x:c>
      <x:c r="F152" s="15" t="n">
        <x:v>0.94</x:v>
      </x:c>
      <x:c r="G152" s="4" t="n">
        <x:v>-3.195410603215148</x:v>
      </x:c>
      <x:c r="H152" s="4" t="n">
        <x:v>-4.115407038738465</x:v>
      </x:c>
      <x:c r="I152" s="15" t="n">
        <x:v>0.006</x:v>
      </x:c>
      <x:c r="J152" s="15" t="n">
        <x:v>0.67661299276164</x:v>
      </x:c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 t="str">
        <x:v>P_LARGE_90_100</x:v>
      </x:c>
      <x:c r="D153" s="4" t="str">
        <x:v>large</x:v>
      </x:c>
      <x:c r="E153" s="15" t="n">
        <x:v>0.9</x:v>
      </x:c>
      <x:c r="F153" s="15" t="n">
        <x:v>1</x:v>
      </x:c>
      <x:c r="G153" s="4" t="n">
        <x:v>-3.187023965959943</x:v>
      </x:c>
      <x:c r="H153" s="4" t="n">
        <x:v>-4.100934890579239</x:v>
      </x:c>
      <x:c r="I153" s="15" t="n">
        <x:v>0.006</x:v>
      </x:c>
      <x:c r="J153" s="15" t="n">
        <x:v>0.6766585397705077</x:v>
      </x:c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 t="str">
        <x:v>P_LARGE_95_88</x:v>
      </x:c>
      <x:c r="D154" s="4" t="str">
        <x:v>large</x:v>
      </x:c>
      <x:c r="E154" s="15" t="n">
        <x:v>0.95</x:v>
      </x:c>
      <x:c r="F154" s="15" t="n">
        <x:v>0.88</x:v>
      </x:c>
      <x:c r="G154" s="4" t="n">
        <x:v>-3.288741927295988</x:v>
      </x:c>
      <x:c r="H154" s="4" t="n">
        <x:v>-4.225543040631351</x:v>
      </x:c>
      <x:c r="I154" s="15" t="n">
        <x:v>0.005</x:v>
      </x:c>
      <x:c r="J154" s="15" t="n">
        <x:v>0.6743899206234321</x:v>
      </x:c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 t="str">
        <x:v>P_LARGE_95_94</x:v>
      </x:c>
      <x:c r="D155" s="4" t="str">
        <x:v>large</x:v>
      </x:c>
      <x:c r="E155" s="15" t="n">
        <x:v>0.95</x:v>
      </x:c>
      <x:c r="F155" s="15" t="n">
        <x:v>0.94</x:v>
      </x:c>
      <x:c r="G155" s="4" t="n">
        <x:v>-3.195410603215148</x:v>
      </x:c>
      <x:c r="H155" s="4" t="n">
        <x:v>-4.115407038738465</x:v>
      </x:c>
      <x:c r="I155" s="15" t="n">
        <x:v>0.006</x:v>
      </x:c>
      <x:c r="J155" s="15" t="n">
        <x:v>0.67661299276164</x:v>
      </x:c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 t="str">
        <x:v>P_LARGE_95_100</x:v>
      </x:c>
      <x:c r="D156" s="4" t="str">
        <x:v>large</x:v>
      </x:c>
      <x:c r="E156" s="15" t="n">
        <x:v>0.95</x:v>
      </x:c>
      <x:c r="F156" s="15" t="n">
        <x:v>1</x:v>
      </x:c>
      <x:c r="G156" s="4" t="n">
        <x:v>-3.187023965959943</x:v>
      </x:c>
      <x:c r="H156" s="4" t="n">
        <x:v>-4.100934890579239</x:v>
      </x:c>
      <x:c r="I156" s="15" t="n">
        <x:v>0.006</x:v>
      </x:c>
      <x:c r="J156" s="15" t="n">
        <x:v>0.6766585397705077</x:v>
      </x:c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6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Year5 incremental operating profit heatmap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21" t="str">
        <x:v>Rp tn. Same-demand counterfactual per cell. Requested ceiling may not be reached.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22" customHeight="1">
      <x:c r="A5" s="1"/>
      <x:c r="B5" s="1"/>
      <x:c r="C5" s="3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32" customHeight="1">
      <x:c r="A6" s="1"/>
      <x:c r="B6" s="1"/>
      <x:c r="C6" s="13" t="str">
        <x:v>Internal-share ceiling</x:v>
      </x:c>
      <x:c r="D6" s="44" t="n">
        <x:v>0.8</x:v>
      </x:c>
      <x:c r="E6" s="44" t="n">
        <x:v>0.9</x:v>
      </x:c>
      <x:c r="F6" s="44" t="n">
        <x:v>1</x:v>
      </x:c>
      <x:c r="G6" s="44" t="n">
        <x:v>1.1</x:v>
      </x:c>
      <x:c r="H6" s="44" t="n">
        <x:v>1.2</x:v>
      </x:c>
      <x:c r="I6" s="44" t="n">
        <x:v>1.4</x:v>
      </x:c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22" customHeight="1">
      <x:c r="A7" s="1"/>
      <x:c r="B7" s="1"/>
      <x:c r="C7" s="15" t="n">
        <x:v>0.45</x:v>
      </x:c>
      <x:c r="D7" s="4" t="n">
        <x:v>-0.2083603564970737</x:v>
      </x:c>
      <x:c r="E7" s="4" t="n">
        <x:v>-0.22849239650739275</x:v>
      </x:c>
      <x:c r="F7" s="4" t="n">
        <x:v>-0.22613015026332373</x:v>
      </x:c>
      <x:c r="G7" s="4" t="n">
        <x:v>-0.17716103420221788</x:v>
      </x:c>
      <x:c r="H7" s="45" t="n">
        <x:v>-0.19889769286008321</x:v>
      </x:c>
      <x:c r="I7" s="45" t="n">
        <x:v>-0.6385606005975676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22" customHeight="1">
      <x:c r="A8" s="1"/>
      <x:c r="B8" s="1"/>
      <x:c r="C8" s="15" t="n">
        <x:v>0.5</x:v>
      </x:c>
      <x:c r="D8" s="4" t="n">
        <x:v>0.14726005997540523</x:v>
      </x:c>
      <x:c r="E8" s="4" t="n">
        <x:v>0.15377277853457552</x:v>
      </x:c>
      <x:c r="F8" s="4" t="n">
        <x:v>0.09987057146616164</x:v>
      </x:c>
      <x:c r="G8" s="45" t="n">
        <x:v>0.02370651653873032</x:v>
      </x:c>
      <x:c r="H8" s="45" t="n">
        <x:v>-0.121434178967633</x:v>
      </x:c>
      <x:c r="I8" s="45" t="n">
        <x:v>-0.6367542340322959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22" customHeight="1">
      <x:c r="A9" s="1"/>
      <x:c r="B9" s="1"/>
      <x:c r="C9" s="15" t="n">
        <x:v>0.55</x:v>
      </x:c>
      <x:c r="D9" s="45" t="n">
        <x:v>0.4939198767224366</x:v>
      </x:c>
      <x:c r="E9" s="45" t="n">
        <x:v>0.45690645473727365</x:v>
      </x:c>
      <x:c r="F9" s="45" t="n">
        <x:v>0.2759782964960722</x:v>
      </x:c>
      <x:c r="G9" s="45" t="n">
        <x:v>0.07907283195489492</x:v>
      </x:c>
      <x:c r="H9" s="45" t="n">
        <x:v>-0.11370829585259057</x:v>
      </x:c>
      <x:c r="I9" s="45" t="n">
        <x:v>-0.6367542340322959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22" customHeight="1">
      <x:c r="A10" s="1"/>
      <x:c r="B10" s="1"/>
      <x:c r="C10" s="15" t="n">
        <x:v>0.6</x:v>
      </x:c>
      <x:c r="D10" s="45" t="n">
        <x:v>0.7837003751067656</x:v>
      </x:c>
      <x:c r="E10" s="45" t="n">
        <x:v>0.6337676451122459</x:v>
      </x:c>
      <x:c r="F10" s="45" t="n">
        <x:v>0.3292942227675045</x:v>
      </x:c>
      <x:c r="G10" s="45" t="n">
        <x:v>0.08515215303318383</x:v>
      </x:c>
      <x:c r="H10" s="45" t="n">
        <x:v>-0.11346369738758787</x:v>
      </x:c>
      <x:c r="I10" s="45" t="n">
        <x:v>-0.6367542340322959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22" customHeight="1">
      <x:c r="A11" s="1"/>
      <x:c r="B11" s="1"/>
      <x:c r="C11" s="15" t="n">
        <x:v>0.65</x:v>
      </x:c>
      <x:c r="D11" s="45" t="n">
        <x:v>0.9538967800577921</x:v>
      </x:c>
      <x:c r="E11" s="45" t="n">
        <x:v>0.7010623885639405</x:v>
      </x:c>
      <x:c r="F11" s="45" t="n">
        <x:v>0.3366388365831265</x:v>
      </x:c>
      <x:c r="G11" s="45" t="n">
        <x:v>0.08539359178562296</x:v>
      </x:c>
      <x:c r="H11" s="45" t="n">
        <x:v>-0.11346369738758787</x:v>
      </x:c>
      <x:c r="I11" s="45" t="n">
        <x:v>-0.6367542340322959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22" customHeight="1">
      <x:c r="A12" s="1"/>
      <x:c r="B12" s="1"/>
      <x:c r="C12" s="15" t="n">
        <x:v>0.7</x:v>
      </x:c>
      <x:c r="D12" s="45" t="n">
        <x:v>1.026767856586785</x:v>
      </x:c>
      <x:c r="E12" s="45" t="n">
        <x:v>0.710526080000975</x:v>
      </x:c>
      <x:c r="F12" s="45" t="n">
        <x:v>0.33700818552759393</x:v>
      </x:c>
      <x:c r="G12" s="45" t="n">
        <x:v>0.08539359178562296</x:v>
      </x:c>
      <x:c r="H12" s="45" t="n">
        <x:v>-0.11346369738758787</x:v>
      </x:c>
      <x:c r="I12" s="45" t="n">
        <x:v>-0.6367542340322959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22" customHeight="1">
      <x:c r="A13" s="1"/>
      <x:c r="B13" s="1"/>
      <x:c r="C13" s="15" t="n">
        <x:v>0.75</x:v>
      </x:c>
      <x:c r="D13" s="45" t="n">
        <x:v>1.031381764427361</x:v>
      </x:c>
      <x:c r="E13" s="45" t="n">
        <x:v>0.7106007557594253</x:v>
      </x:c>
      <x:c r="F13" s="45" t="n">
        <x:v>0.33700818552759393</x:v>
      </x:c>
      <x:c r="G13" s="45" t="n">
        <x:v>0.08539359178562296</x:v>
      </x:c>
      <x:c r="H13" s="45" t="n">
        <x:v>-0.11346369738758787</x:v>
      </x:c>
      <x:c r="I13" s="45" t="n">
        <x:v>-0.6367542340322959</x:v>
      </x:c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22" customHeight="1">
      <x:c r="A14" s="1"/>
      <x:c r="B14" s="1"/>
      <x:c r="C14" s="15" t="n">
        <x:v>0.8</x:v>
      </x:c>
      <x:c r="D14" s="45" t="n">
        <x:v>1.0313995863075542</x:v>
      </x:c>
      <x:c r="E14" s="45" t="n">
        <x:v>0.7106007557594253</x:v>
      </x:c>
      <x:c r="F14" s="45" t="n">
        <x:v>0.33700818552759393</x:v>
      </x:c>
      <x:c r="G14" s="45" t="n">
        <x:v>0.08539359178562296</x:v>
      </x:c>
      <x:c r="H14" s="45" t="n">
        <x:v>-0.11346369738758787</x:v>
      </x:c>
      <x:c r="I14" s="45" t="n">
        <x:v>-0.6367542340322959</x:v>
      </x:c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22" customHeight="1">
      <x:c r="A15" s="1"/>
      <x:c r="B15" s="1"/>
      <x:c r="C15" s="15" t="n">
        <x:v>0.85</x:v>
      </x:c>
      <x:c r="D15" s="45" t="n">
        <x:v>1.0313995863075542</x:v>
      </x:c>
      <x:c r="E15" s="45" t="n">
        <x:v>0.7106007557594253</x:v>
      </x:c>
      <x:c r="F15" s="45" t="n">
        <x:v>0.33700818552759393</x:v>
      </x:c>
      <x:c r="G15" s="45" t="n">
        <x:v>0.08539359178562296</x:v>
      </x:c>
      <x:c r="H15" s="45" t="n">
        <x:v>-0.11346369738758787</x:v>
      </x:c>
      <x:c r="I15" s="45" t="n">
        <x:v>-0.6367542340322959</x:v>
      </x:c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22" customHeight="1">
      <x:c r="A16" s="1"/>
      <x:c r="B16" s="1"/>
      <x:c r="C16" s="15" t="n">
        <x:v>0.9</x:v>
      </x:c>
      <x:c r="D16" s="45" t="n">
        <x:v>1.0313995863075542</x:v>
      </x:c>
      <x:c r="E16" s="45" t="n">
        <x:v>0.7106007557594253</x:v>
      </x:c>
      <x:c r="F16" s="45" t="n">
        <x:v>0.33700818552759393</x:v>
      </x:c>
      <x:c r="G16" s="45" t="n">
        <x:v>0.08539359178562296</x:v>
      </x:c>
      <x:c r="H16" s="45" t="n">
        <x:v>-0.11346369738758787</x:v>
      </x:c>
      <x:c r="I16" s="45" t="n">
        <x:v>-0.6367542340322959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22" customHeight="1">
      <x:c r="A17" s="1"/>
      <x:c r="B17" s="1"/>
      <x:c r="C17" s="15" t="n">
        <x:v>0.95</x:v>
      </x:c>
      <x:c r="D17" s="45" t="n">
        <x:v>1.0313995863075542</x:v>
      </x:c>
      <x:c r="E17" s="45" t="n">
        <x:v>0.7106007557594253</x:v>
      </x:c>
      <x:c r="F17" s="45" t="n">
        <x:v>0.33700818552759393</x:v>
      </x:c>
      <x:c r="G17" s="45" t="n">
        <x:v>0.08539359178562296</x:v>
      </x:c>
      <x:c r="H17" s="45" t="n">
        <x:v>-0.11346369738758787</x:v>
      </x:c>
      <x:c r="I17" s="45" t="n">
        <x:v>-0.6367542340322959</x:v>
      </x:c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22" customHeight="1">
      <x:c r="A18" s="1"/>
      <x:c r="B18" s="1"/>
      <x:c r="C18" s="3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21" t="str">
        <x:v>* Requested share not attained or service-risk limit failed. Actual fallback outcome shown; reasons below.</x:v>
      </x:c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32" customHeight="1">
      <x:c r="A21" s="1"/>
      <x:c r="B21" s="1"/>
      <x:c r="C21" s="13" t="str">
        <x:v>Cell ID</x:v>
      </x:c>
      <x:c r="D21" s="14" t="str">
        <x:v>Ceiling</x:v>
      </x:c>
      <x:c r="E21" s="14" t="str">
        <x:v>Demand axis</x:v>
      </x:c>
      <x:c r="F21" s="14" t="str">
        <x:v>Realised share</x:v>
      </x:c>
      <x:c r="G21" s="14" t="str">
        <x:v>ΔEBIT Y5</x:v>
      </x:c>
      <x:c r="H21" s="14" t="str">
        <x:v>NPV</x:v>
      </x:c>
      <x:c r="I21" s="14" t="str">
        <x:v>Feasible requested point</x:v>
      </x:c>
      <x:c r="J21" s="14" t="str">
        <x:v>Reason</x:v>
      </x:c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33" customHeight="1">
      <x:c r="A22" s="1"/>
      <x:c r="B22" s="1"/>
      <x:c r="C22" s="3" t="str">
        <x:v>H_45_80</x:v>
      </x:c>
      <x:c r="D22" s="15" t="n">
        <x:v>0.45</x:v>
      </x:c>
      <x:c r="E22" s="15" t="n">
        <x:v>0.8</x:v>
      </x:c>
      <x:c r="F22" s="15" t="n">
        <x:v>0.45892185257555806</x:v>
      </x:c>
      <x:c r="G22" s="4" t="n">
        <x:v>-0.2083603564970737</x:v>
      </x:c>
      <x:c r="H22" s="4" t="n">
        <x:v>-0.8160123029739862</x:v>
      </x:c>
      <x:c r="I22" s="46" t="b">
        <x:v>1</x:v>
      </x:c>
      <x:c r="J22" s="47" t="str">
        <x:v>Within model limits</x:v>
      </x:c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33" customHeight="1">
      <x:c r="A23" s="1"/>
      <x:c r="B23" s="1"/>
      <x:c r="C23" s="3" t="str">
        <x:v>H_45_90</x:v>
      </x:c>
      <x:c r="D23" s="15" t="n">
        <x:v>0.45</x:v>
      </x:c>
      <x:c r="E23" s="15" t="n">
        <x:v>0.9</x:v>
      </x:c>
      <x:c r="F23" s="15" t="n">
        <x:v>0.4589106132346375</x:v>
      </x:c>
      <x:c r="G23" s="4" t="n">
        <x:v>-0.22849239650739275</x:v>
      </x:c>
      <x:c r="H23" s="4" t="n">
        <x:v>-0.8717516679888699</x:v>
      </x:c>
      <x:c r="I23" s="46" t="b">
        <x:v>1</x:v>
      </x:c>
      <x:c r="J23" s="47" t="str">
        <x:v>Within model limits</x:v>
      </x:c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33" customHeight="1">
      <x:c r="A24" s="1"/>
      <x:c r="B24" s="1"/>
      <x:c r="C24" s="3" t="str">
        <x:v>H_45_100</x:v>
      </x:c>
      <x:c r="D24" s="15" t="n">
        <x:v>0.45</x:v>
      </x:c>
      <x:c r="E24" s="15" t="n">
        <x:v>1</x:v>
      </x:c>
      <x:c r="F24" s="15" t="n">
        <x:v>0.45877431522515244</x:v>
      </x:c>
      <x:c r="G24" s="4" t="n">
        <x:v>-0.22613015026332373</x:v>
      </x:c>
      <x:c r="H24" s="4" t="n">
        <x:v>-0.8609037415507172</x:v>
      </x:c>
      <x:c r="I24" s="46" t="b">
        <x:v>1</x:v>
      </x:c>
      <x:c r="J24" s="47" t="str">
        <x:v>Within model limits</x:v>
      </x:c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33" customHeight="1">
      <x:c r="A25" s="1"/>
      <x:c r="B25" s="1"/>
      <x:c r="C25" s="3" t="str">
        <x:v>H_45_110</x:v>
      </x:c>
      <x:c r="D25" s="15" t="n">
        <x:v>0.45</x:v>
      </x:c>
      <x:c r="E25" s="15" t="n">
        <x:v>1.1</x:v>
      </x:c>
      <x:c r="F25" s="15" t="n">
        <x:v>0.4567730081491552</x:v>
      </x:c>
      <x:c r="G25" s="4" t="n">
        <x:v>-0.17716103420221788</x:v>
      </x:c>
      <x:c r="H25" s="4" t="n">
        <x:v>-0.7095822511088028</x:v>
      </x:c>
      <x:c r="I25" s="46" t="b">
        <x:v>1</x:v>
      </x:c>
      <x:c r="J25" s="47" t="str">
        <x:v>Within model limits</x:v>
      </x:c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33" customHeight="1">
      <x:c r="A26" s="1"/>
      <x:c r="B26" s="1"/>
      <x:c r="C26" s="3" t="str">
        <x:v>H_45_120</x:v>
      </x:c>
      <x:c r="D26" s="15" t="n">
        <x:v>0.45</x:v>
      </x:c>
      <x:c r="E26" s="15" t="n">
        <x:v>1.2</x:v>
      </x:c>
      <x:c r="F26" s="15" t="n">
        <x:v>0.4461608053725718</x:v>
      </x:c>
      <x:c r="G26" s="4" t="n">
        <x:v>-0.19889769286008321</x:v>
      </x:c>
      <x:c r="H26" s="4" t="n">
        <x:v>-0.7438478963966362</x:v>
      </x:c>
      <x:c r="I26" s="46" t="b">
        <x:v>0</x:v>
      </x:c>
      <x:c r="J26" s="47" t="str">
        <x:v>service_risk_above_10pct_worlds</x:v>
      </x:c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33" customHeight="1">
      <x:c r="A27" s="1"/>
      <x:c r="B27" s="1"/>
      <x:c r="C27" s="3" t="str">
        <x:v>H_45_140</x:v>
      </x:c>
      <x:c r="D27" s="15" t="n">
        <x:v>0.45</x:v>
      </x:c>
      <x:c r="E27" s="15" t="n">
        <x:v>1.4</x:v>
      </x:c>
      <x:c r="F27" s="15" t="n">
        <x:v>0.3958004160231509</x:v>
      </x:c>
      <x:c r="G27" s="4" t="n">
        <x:v>-0.6385606005975676</x:v>
      </x:c>
      <x:c r="H27" s="4" t="n">
        <x:v>-1.9783187876527322</x:v>
      </x:c>
      <x:c r="I27" s="46" t="b">
        <x:v>0</x:v>
      </x:c>
      <x:c r="J27" s="47" t="str">
        <x:v>target_not_economic_or_capacity_limited; service_risk_above_10pct_worlds</x:v>
      </x:c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33" customHeight="1">
      <x:c r="A28" s="1"/>
      <x:c r="B28" s="1"/>
      <x:c r="C28" s="3" t="str">
        <x:v>H_50_80</x:v>
      </x:c>
      <x:c r="D28" s="15" t="n">
        <x:v>0.5</x:v>
      </x:c>
      <x:c r="E28" s="15" t="n">
        <x:v>0.8</x:v>
      </x:c>
      <x:c r="F28" s="15" t="n">
        <x:v>0.49999287215351296</x:v>
      </x:c>
      <x:c r="G28" s="4" t="n">
        <x:v>0.14726005997540523</x:v>
      </x:c>
      <x:c r="H28" s="4" t="n">
        <x:v>0.11047001329813876</x:v>
      </x:c>
      <x:c r="I28" s="46" t="b">
        <x:v>1</x:v>
      </x:c>
      <x:c r="J28" s="47" t="str">
        <x:v>Within model limits</x:v>
      </x:c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33" customHeight="1">
      <x:c r="A29" s="1"/>
      <x:c r="B29" s="1"/>
      <x:c r="C29" s="3" t="str">
        <x:v>H_50_90</x:v>
      </x:c>
      <x:c r="D29" s="15" t="n">
        <x:v>0.5</x:v>
      </x:c>
      <x:c r="E29" s="15" t="n">
        <x:v>0.9</x:v>
      </x:c>
      <x:c r="F29" s="15" t="n">
        <x:v>0.4998734299091883</x:v>
      </x:c>
      <x:c r="G29" s="4" t="n">
        <x:v>0.15377277853457552</x:v>
      </x:c>
      <x:c r="H29" s="4" t="n">
        <x:v>0.12606060090805396</x:v>
      </x:c>
      <x:c r="I29" s="46" t="b">
        <x:v>1</x:v>
      </x:c>
      <x:c r="J29" s="47" t="str">
        <x:v>Within model limits</x:v>
      </x:c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33" customHeight="1">
      <x:c r="A30" s="1"/>
      <x:c r="B30" s="1"/>
      <x:c r="C30" s="3" t="str">
        <x:v>H_50_100</x:v>
      </x:c>
      <x:c r="D30" s="15" t="n">
        <x:v>0.5</x:v>
      </x:c>
      <x:c r="E30" s="15" t="n">
        <x:v>1</x:v>
      </x:c>
      <x:c r="F30" s="15" t="n">
        <x:v>0.49787467552152476</x:v>
      </x:c>
      <x:c r="G30" s="4" t="n">
        <x:v>0.09987057146616164</x:v>
      </x:c>
      <x:c r="H30" s="4" t="n">
        <x:v>-0.0003010629618159033</x:v>
      </x:c>
      <x:c r="I30" s="46" t="b">
        <x:v>1</x:v>
      </x:c>
      <x:c r="J30" s="47" t="str">
        <x:v>Within model limits</x:v>
      </x:c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33" customHeight="1">
      <x:c r="A31" s="1"/>
      <x:c r="B31" s="1"/>
      <x:c r="C31" s="3" t="str">
        <x:v>H_50_110</x:v>
      </x:c>
      <x:c r="D31" s="15" t="n">
        <x:v>0.5</x:v>
      </x:c>
      <x:c r="E31" s="15" t="n">
        <x:v>1.1</x:v>
      </x:c>
      <x:c r="F31" s="15" t="n">
        <x:v>0.48547344066058745</x:v>
      </x:c>
      <x:c r="G31" s="4" t="n">
        <x:v>0.02370651653873032</x:v>
      </x:c>
      <x:c r="H31" s="4" t="n">
        <x:v>-0.17808631631359179</x:v>
      </x:c>
      <x:c r="I31" s="46" t="b">
        <x:v>0</x:v>
      </x:c>
      <x:c r="J31" s="47" t="str">
        <x:v>target_not_economic_or_capacity_limited</x:v>
      </x:c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33" customHeight="1">
      <x:c r="A32" s="1"/>
      <x:c r="B32" s="1"/>
      <x:c r="C32" s="3" t="str">
        <x:v>H_50_120</x:v>
      </x:c>
      <x:c r="D32" s="15" t="n">
        <x:v>0.5</x:v>
      </x:c>
      <x:c r="E32" s="15" t="n">
        <x:v>1.2</x:v>
      </x:c>
      <x:c r="F32" s="15" t="n">
        <x:v>0.45794940492826314</x:v>
      </x:c>
      <x:c r="G32" s="4" t="n">
        <x:v>-0.121434178967633</x:v>
      </x:c>
      <x:c r="H32" s="4" t="n">
        <x:v>-0.541449863761683</x:v>
      </x:c>
      <x:c r="I32" s="46" t="b">
        <x:v>0</x:v>
      </x:c>
      <x:c r="J32" s="47" t="str">
        <x:v>target_not_economic_or_capacity_limited; service_risk_above_10pct_worlds</x:v>
      </x:c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33" customHeight="1">
      <x:c r="A33" s="1"/>
      <x:c r="B33" s="1"/>
      <x:c r="C33" s="3" t="str">
        <x:v>H_50_140</x:v>
      </x:c>
      <x:c r="D33" s="15" t="n">
        <x:v>0.5</x:v>
      </x:c>
      <x:c r="E33" s="15" t="n">
        <x:v>1.4</x:v>
      </x:c>
      <x:c r="F33" s="15" t="n">
        <x:v>0.3960752877260843</x:v>
      </x:c>
      <x:c r="G33" s="4" t="n">
        <x:v>-0.6367542340322959</x:v>
      </x:c>
      <x:c r="H33" s="4" t="n">
        <x:v>-1.9741375343610938</x:v>
      </x:c>
      <x:c r="I33" s="46" t="b">
        <x:v>0</x:v>
      </x:c>
      <x:c r="J33" s="47" t="str">
        <x:v>target_not_economic_or_capacity_limited; service_risk_above_10pct_worlds</x:v>
      </x:c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33" customHeight="1">
      <x:c r="A34" s="1"/>
      <x:c r="B34" s="1"/>
      <x:c r="C34" s="3" t="str">
        <x:v>H_55_80</x:v>
      </x:c>
      <x:c r="D34" s="15" t="n">
        <x:v>0.55</x:v>
      </x:c>
      <x:c r="E34" s="15" t="n">
        <x:v>0.8</x:v>
      </x:c>
      <x:c r="F34" s="15" t="n">
        <x:v>0.5409981967648976</x:v>
      </x:c>
      <x:c r="G34" s="4" t="n">
        <x:v>0.4939198767224366</x:v>
      </x:c>
      <x:c r="H34" s="4" t="n">
        <x:v>0.8742068150615228</x:v>
      </x:c>
      <x:c r="I34" s="46" t="b">
        <x:v>0</x:v>
      </x:c>
      <x:c r="J34" s="47" t="str">
        <x:v>target_not_economic_or_capacity_limited</x:v>
      </x:c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33" customHeight="1">
      <x:c r="A35" s="1"/>
      <x:c r="B35" s="1"/>
      <x:c r="C35" s="3" t="str">
        <x:v>H_55_90</x:v>
      </x:c>
      <x:c r="D35" s="15" t="n">
        <x:v>0.55</x:v>
      </x:c>
      <x:c r="E35" s="15" t="n">
        <x:v>0.9</x:v>
      </x:c>
      <x:c r="F35" s="15" t="n">
        <x:v>0.539283933083443</x:v>
      </x:c>
      <x:c r="G35" s="4" t="n">
        <x:v>0.45690645473727365</x:v>
      </x:c>
      <x:c r="H35" s="4" t="n">
        <x:v>0.7924589790775471</x:v>
      </x:c>
      <x:c r="I35" s="46" t="b">
        <x:v>0</x:v>
      </x:c>
      <x:c r="J35" s="47" t="str">
        <x:v>target_not_economic_or_capacity_limited</x:v>
      </x:c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33" customHeight="1">
      <x:c r="A36" s="1"/>
      <x:c r="B36" s="1"/>
      <x:c r="C36" s="3" t="str">
        <x:v>H_55_100</x:v>
      </x:c>
      <x:c r="D36" s="15" t="n">
        <x:v>0.55</x:v>
      </x:c>
      <x:c r="E36" s="15" t="n">
        <x:v>1</x:v>
      </x:c>
      <x:c r="F36" s="15" t="n">
        <x:v>0.5257592737069818</x:v>
      </x:c>
      <x:c r="G36" s="4" t="n">
        <x:v>0.2759782964960722</x:v>
      </x:c>
      <x:c r="H36" s="4" t="n">
        <x:v>0.3857567248544014</x:v>
      </x:c>
      <x:c r="I36" s="46" t="b">
        <x:v>0</x:v>
      </x:c>
      <x:c r="J36" s="47" t="str">
        <x:v>target_not_economic_or_capacity_limited</x:v>
      </x:c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33" customHeight="1">
      <x:c r="A37" s="1"/>
      <x:c r="B37" s="1"/>
      <x:c r="C37" s="3" t="str">
        <x:v>H_55_110</x:v>
      </x:c>
      <x:c r="D37" s="15" t="n">
        <x:v>0.55</x:v>
      </x:c>
      <x:c r="E37" s="15" t="n">
        <x:v>1.1</x:v>
      </x:c>
      <x:c r="F37" s="15" t="n">
        <x:v>0.4948548147464611</x:v>
      </x:c>
      <x:c r="G37" s="4" t="n">
        <x:v>0.07907283195489492</x:v>
      </x:c>
      <x:c r="H37" s="4" t="n">
        <x:v>-0.055750461632895924</x:v>
      </x:c>
      <x:c r="I37" s="46" t="b">
        <x:v>0</x:v>
      </x:c>
      <x:c r="J37" s="47" t="str">
        <x:v>target_not_economic_or_capacity_limited</x:v>
      </x:c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33" customHeight="1">
      <x:c r="A38" s="1"/>
      <x:c r="B38" s="1"/>
      <x:c r="C38" s="3" t="str">
        <x:v>H_55_120</x:v>
      </x:c>
      <x:c r="D38" s="15" t="n">
        <x:v>0.55</x:v>
      </x:c>
      <x:c r="E38" s="15" t="n">
        <x:v>1.2</x:v>
      </x:c>
      <x:c r="F38" s="15" t="n">
        <x:v>0.4592890170681926</x:v>
      </x:c>
      <x:c r="G38" s="4" t="n">
        <x:v>-0.11370829585259057</x:v>
      </x:c>
      <x:c r="H38" s="4" t="n">
        <x:v>-0.5243093702951725</x:v>
      </x:c>
      <x:c r="I38" s="46" t="b">
        <x:v>0</x:v>
      </x:c>
      <x:c r="J38" s="47" t="str">
        <x:v>target_not_economic_or_capacity_limited; service_risk_above_10pct_worlds</x:v>
      </x:c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33" customHeight="1">
      <x:c r="A39" s="1"/>
      <x:c r="B39" s="1"/>
      <x:c r="C39" s="3" t="str">
        <x:v>H_55_140</x:v>
      </x:c>
      <x:c r="D39" s="15" t="n">
        <x:v>0.55</x:v>
      </x:c>
      <x:c r="E39" s="15" t="n">
        <x:v>1.4</x:v>
      </x:c>
      <x:c r="F39" s="15" t="n">
        <x:v>0.3960752877260843</x:v>
      </x:c>
      <x:c r="G39" s="4" t="n">
        <x:v>-0.6367542340322959</x:v>
      </x:c>
      <x:c r="H39" s="4" t="n">
        <x:v>-1.9740712207952522</x:v>
      </x:c>
      <x:c r="I39" s="46" t="b">
        <x:v>0</x:v>
      </x:c>
      <x:c r="J39" s="47" t="str">
        <x:v>target_not_economic_or_capacity_limited; service_risk_above_10pct_worlds</x:v>
      </x:c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33" customHeight="1">
      <x:c r="A40" s="1"/>
      <x:c r="B40" s="1"/>
      <x:c r="C40" s="3" t="str">
        <x:v>H_60_80</x:v>
      </x:c>
      <x:c r="D40" s="15" t="n">
        <x:v>0.6</x:v>
      </x:c>
      <x:c r="E40" s="15" t="n">
        <x:v>0.8</x:v>
      </x:c>
      <x:c r="F40" s="15" t="n">
        <x:v>0.5812601343527204</x:v>
      </x:c>
      <x:c r="G40" s="4" t="n">
        <x:v>0.7837003751067656</x:v>
      </x:c>
      <x:c r="H40" s="4" t="n">
        <x:v>1.5084157798609994</x:v>
      </x:c>
      <x:c r="I40" s="46" t="b">
        <x:v>0</x:v>
      </x:c>
      <x:c r="J40" s="47" t="str">
        <x:v>target_not_economic_or_capacity_limited</x:v>
      </x:c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33" customHeight="1">
      <x:c r="A41" s="1"/>
      <x:c r="B41" s="1"/>
      <x:c r="C41" s="3" t="str">
        <x:v>H_60_90</x:v>
      </x:c>
      <x:c r="D41" s="15" t="n">
        <x:v>0.6</x:v>
      </x:c>
      <x:c r="E41" s="15" t="n">
        <x:v>0.9</x:v>
      </x:c>
      <x:c r="F41" s="15" t="n">
        <x:v>0.5696690407940935</x:v>
      </x:c>
      <x:c r="G41" s="4" t="n">
        <x:v>0.6337676451122459</x:v>
      </x:c>
      <x:c r="H41" s="4" t="n">
        <x:v>1.176051203802933</x:v>
      </x:c>
      <x:c r="I41" s="46" t="b">
        <x:v>0</x:v>
      </x:c>
      <x:c r="J41" s="47" t="str">
        <x:v>target_not_economic_or_capacity_limited</x:v>
      </x:c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33" customHeight="1">
      <x:c r="A42" s="1"/>
      <x:c r="B42" s="1"/>
      <x:c r="C42" s="3" t="str">
        <x:v>H_60_100</x:v>
      </x:c>
      <x:c r="D42" s="15" t="n">
        <x:v>0.6</x:v>
      </x:c>
      <x:c r="E42" s="15" t="n">
        <x:v>1</x:v>
      </x:c>
      <x:c r="F42" s="15" t="n">
        <x:v>0.535718108825191</x:v>
      </x:c>
      <x:c r="G42" s="4" t="n">
        <x:v>0.3292942227675045</x:v>
      </x:c>
      <x:c r="H42" s="4" t="n">
        <x:v>0.5002051224977743</x:v>
      </x:c>
      <x:c r="I42" s="46" t="b">
        <x:v>0</x:v>
      </x:c>
      <x:c r="J42" s="47" t="str">
        <x:v>target_not_economic_or_capacity_limited</x:v>
      </x:c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33" customHeight="1">
      <x:c r="A43" s="1"/>
      <x:c r="B43" s="1"/>
      <x:c r="C43" s="3" t="str">
        <x:v>H_60_110</x:v>
      </x:c>
      <x:c r="D43" s="15" t="n">
        <x:v>0.6</x:v>
      </x:c>
      <x:c r="E43" s="15" t="n">
        <x:v>1.1</x:v>
      </x:c>
      <x:c r="F43" s="15" t="n">
        <x:v>0.49602219577936696</x:v>
      </x:c>
      <x:c r="G43" s="4" t="n">
        <x:v>0.08515215303318383</x:v>
      </x:c>
      <x:c r="H43" s="4" t="n">
        <x:v>-0.043282396488299506</x:v>
      </x:c>
      <x:c r="I43" s="46" t="b">
        <x:v>0</x:v>
      </x:c>
      <x:c r="J43" s="47" t="str">
        <x:v>target_not_economic_or_capacity_limited</x:v>
      </x:c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33" customHeight="1">
      <x:c r="A44" s="1"/>
      <x:c r="B44" s="1"/>
      <x:c r="C44" s="3" t="str">
        <x:v>H_60_120</x:v>
      </x:c>
      <x:c r="D44" s="15" t="n">
        <x:v>0.6</x:v>
      </x:c>
      <x:c r="E44" s="15" t="n">
        <x:v>1.2</x:v>
      </x:c>
      <x:c r="F44" s="15" t="n">
        <x:v>0.4593282874472319</x:v>
      </x:c>
      <x:c r="G44" s="4" t="n">
        <x:v>-0.11346369738758787</x:v>
      </x:c>
      <x:c r="H44" s="4" t="n">
        <x:v>-0.5235875437116648</x:v>
      </x:c>
      <x:c r="I44" s="46" t="b">
        <x:v>0</x:v>
      </x:c>
      <x:c r="J44" s="47" t="str">
        <x:v>target_not_economic_or_capacity_limited; service_risk_above_10pct_worlds</x:v>
      </x:c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33" customHeight="1">
      <x:c r="A45" s="1"/>
      <x:c r="B45" s="1"/>
      <x:c r="C45" s="3" t="str">
        <x:v>H_60_140</x:v>
      </x:c>
      <x:c r="D45" s="15" t="n">
        <x:v>0.6</x:v>
      </x:c>
      <x:c r="E45" s="15" t="n">
        <x:v>1.4</x:v>
      </x:c>
      <x:c r="F45" s="15" t="n">
        <x:v>0.3960752877260843</x:v>
      </x:c>
      <x:c r="G45" s="4" t="n">
        <x:v>-0.6367542340322959</x:v>
      </x:c>
      <x:c r="H45" s="4" t="n">
        <x:v>-1.9740712207952522</x:v>
      </x:c>
      <x:c r="I45" s="46" t="b">
        <x:v>0</x:v>
      </x:c>
      <x:c r="J45" s="47" t="str">
        <x:v>target_not_economic_or_capacity_limited; service_risk_above_10pct_worlds</x:v>
      </x:c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33" customHeight="1">
      <x:c r="A46" s="1"/>
      <x:c r="B46" s="1"/>
      <x:c r="C46" s="3" t="str">
        <x:v>H_65_80</x:v>
      </x:c>
      <x:c r="D46" s="15" t="n">
        <x:v>0.65</x:v>
      </x:c>
      <x:c r="E46" s="15" t="n">
        <x:v>0.8</x:v>
      </x:c>
      <x:c r="F46" s="15" t="n">
        <x:v>0.6164029407671667</x:v>
      </x:c>
      <x:c r="G46" s="4" t="n">
        <x:v>0.9538967800577921</x:v>
      </x:c>
      <x:c r="H46" s="4" t="n">
        <x:v>1.8806838297791255</x:v>
      </x:c>
      <x:c r="I46" s="46" t="b">
        <x:v>0</x:v>
      </x:c>
      <x:c r="J46" s="47" t="str">
        <x:v>target_not_economic_or_capacity_limited</x:v>
      </x:c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33" customHeight="1">
      <x:c r="A47" s="1"/>
      <x:c r="B47" s="1"/>
      <x:c r="C47" s="3" t="str">
        <x:v>H_65_90</x:v>
      </x:c>
      <x:c r="D47" s="15" t="n">
        <x:v>0.65</x:v>
      </x:c>
      <x:c r="E47" s="15" t="n">
        <x:v>0.9</x:v>
      </x:c>
      <x:c r="F47" s="15" t="n">
        <x:v>0.5835174716655595</x:v>
      </x:c>
      <x:c r="G47" s="4" t="n">
        <x:v>0.7010623885639405</x:v>
      </x:c>
      <x:c r="H47" s="4" t="n">
        <x:v>1.3192787672889463</x:v>
      </x:c>
      <x:c r="I47" s="46" t="b">
        <x:v>0</x:v>
      </x:c>
      <x:c r="J47" s="47" t="str">
        <x:v>target_not_economic_or_capacity_limited</x:v>
      </x:c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33" customHeight="1">
      <x:c r="A48" s="1"/>
      <x:c r="B48" s="1"/>
      <x:c r="C48" s="3" t="str">
        <x:v>H_65_100</x:v>
      </x:c>
      <x:c r="D48" s="15" t="n">
        <x:v>0.65</x:v>
      </x:c>
      <x:c r="E48" s="15" t="n">
        <x:v>1</x:v>
      </x:c>
      <x:c r="F48" s="15" t="n">
        <x:v>0.5372464054787074</x:v>
      </x:c>
      <x:c r="G48" s="4" t="n">
        <x:v>0.3366388365831265</x:v>
      </x:c>
      <x:c r="H48" s="4" t="n">
        <x:v>0.5158791367904042</x:v>
      </x:c>
      <x:c r="I48" s="46" t="b">
        <x:v>0</x:v>
      </x:c>
      <x:c r="J48" s="47" t="str">
        <x:v>target_not_economic_or_capacity_limited</x:v>
      </x:c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33" customHeight="1">
      <x:c r="A49" s="1"/>
      <x:c r="B49" s="1"/>
      <x:c r="C49" s="3" t="str">
        <x:v>H_65_110</x:v>
      </x:c>
      <x:c r="D49" s="15" t="n">
        <x:v>0.65</x:v>
      </x:c>
      <x:c r="E49" s="15" t="n">
        <x:v>1.1</x:v>
      </x:c>
      <x:c r="F49" s="15" t="n">
        <x:v>0.4960647105420854</x:v>
      </x:c>
      <x:c r="G49" s="4" t="n">
        <x:v>0.08539359178562296</x:v>
      </x:c>
      <x:c r="H49" s="4" t="n">
        <x:v>-0.04255984951337437</x:v>
      </x:c>
      <x:c r="I49" s="46" t="b">
        <x:v>0</x:v>
      </x:c>
      <x:c r="J49" s="47" t="str">
        <x:v>target_not_economic_or_capacity_limited</x:v>
      </x:c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33" customHeight="1">
      <x:c r="A50" s="1"/>
      <x:c r="B50" s="1"/>
      <x:c r="C50" s="3" t="str">
        <x:v>H_65_120</x:v>
      </x:c>
      <x:c r="D50" s="15" t="n">
        <x:v>0.65</x:v>
      </x:c>
      <x:c r="E50" s="15" t="n">
        <x:v>1.2</x:v>
      </x:c>
      <x:c r="F50" s="15" t="n">
        <x:v>0.4593282874472319</x:v>
      </x:c>
      <x:c r="G50" s="4" t="n">
        <x:v>-0.11346369738758787</x:v>
      </x:c>
      <x:c r="H50" s="4" t="n">
        <x:v>-0.5235875437116648</x:v>
      </x:c>
      <x:c r="I50" s="46" t="b">
        <x:v>0</x:v>
      </x:c>
      <x:c r="J50" s="47" t="str">
        <x:v>target_not_economic_or_capacity_limited; service_risk_above_10pct_worlds</x:v>
      </x:c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33" customHeight="1">
      <x:c r="A51" s="1"/>
      <x:c r="B51" s="1"/>
      <x:c r="C51" s="3" t="str">
        <x:v>H_65_140</x:v>
      </x:c>
      <x:c r="D51" s="15" t="n">
        <x:v>0.65</x:v>
      </x:c>
      <x:c r="E51" s="15" t="n">
        <x:v>1.4</x:v>
      </x:c>
      <x:c r="F51" s="15" t="n">
        <x:v>0.3960752877260843</x:v>
      </x:c>
      <x:c r="G51" s="4" t="n">
        <x:v>-0.6367542340322959</x:v>
      </x:c>
      <x:c r="H51" s="4" t="n">
        <x:v>-1.9740712207952522</x:v>
      </x:c>
      <x:c r="I51" s="46" t="b">
        <x:v>0</x:v>
      </x:c>
      <x:c r="J51" s="47" t="str">
        <x:v>target_not_economic_or_capacity_limited; service_risk_above_10pct_worlds</x:v>
      </x:c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33" customHeight="1">
      <x:c r="A52" s="1"/>
      <x:c r="B52" s="1"/>
      <x:c r="C52" s="3" t="str">
        <x:v>H_70_80</x:v>
      </x:c>
      <x:c r="D52" s="15" t="n">
        <x:v>0.7</x:v>
      </x:c>
      <x:c r="E52" s="15" t="n">
        <x:v>0.8</x:v>
      </x:c>
      <x:c r="F52" s="15" t="n">
        <x:v>0.6344983422563544</x:v>
      </x:c>
      <x:c r="G52" s="4" t="n">
        <x:v>1.026767856586785</x:v>
      </x:c>
      <x:c r="H52" s="4" t="n">
        <x:v>2.038747436176225</x:v>
      </x:c>
      <x:c r="I52" s="46" t="b">
        <x:v>0</x:v>
      </x:c>
      <x:c r="J52" s="47" t="str">
        <x:v>target_not_economic_or_capacity_limited</x:v>
      </x:c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33" customHeight="1">
      <x:c r="A53" s="1"/>
      <x:c r="B53" s="1"/>
      <x:c r="C53" s="3" t="str">
        <x:v>H_70_90</x:v>
      </x:c>
      <x:c r="D53" s="15" t="n">
        <x:v>0.7</x:v>
      </x:c>
      <x:c r="E53" s="15" t="n">
        <x:v>0.9</x:v>
      </x:c>
      <x:c r="F53" s="15" t="n">
        <x:v>0.5859403860982602</x:v>
      </x:c>
      <x:c r="G53" s="4" t="n">
        <x:v>0.710526080000975</x:v>
      </x:c>
      <x:c r="H53" s="4" t="n">
        <x:v>1.3411575040952646</x:v>
      </x:c>
      <x:c r="I53" s="46" t="b">
        <x:v>0</x:v>
      </x:c>
      <x:c r="J53" s="47" t="str">
        <x:v>target_not_economic_or_capacity_limited</x:v>
      </x:c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33" customHeight="1">
      <x:c r="A54" s="1"/>
      <x:c r="B54" s="1"/>
      <x:c r="C54" s="3" t="str">
        <x:v>H_70_100</x:v>
      </x:c>
      <x:c r="D54" s="15" t="n">
        <x:v>0.7</x:v>
      </x:c>
      <x:c r="E54" s="15" t="n">
        <x:v>1</x:v>
      </x:c>
      <x:c r="F54" s="15" t="n">
        <x:v>0.5373300574942571</x:v>
      </x:c>
      <x:c r="G54" s="4" t="n">
        <x:v>0.33700818552759393</x:v>
      </x:c>
      <x:c r="H54" s="4" t="n">
        <x:v>0.5166960288650305</x:v>
      </x:c>
      <x:c r="I54" s="46" t="b">
        <x:v>0</x:v>
      </x:c>
      <x:c r="J54" s="47" t="str">
        <x:v>target_not_economic_or_capacity_limited</x:v>
      </x:c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33" customHeight="1">
      <x:c r="A55" s="1"/>
      <x:c r="B55" s="1"/>
      <x:c r="C55" s="3" t="str">
        <x:v>H_70_110</x:v>
      </x:c>
      <x:c r="D55" s="15" t="n">
        <x:v>0.7</x:v>
      </x:c>
      <x:c r="E55" s="15" t="n">
        <x:v>1.1</x:v>
      </x:c>
      <x:c r="F55" s="15" t="n">
        <x:v>0.4960647105420854</x:v>
      </x:c>
      <x:c r="G55" s="4" t="n">
        <x:v>0.08539359178562296</x:v>
      </x:c>
      <x:c r="H55" s="4" t="n">
        <x:v>-0.04255984951337437</x:v>
      </x:c>
      <x:c r="I55" s="46" t="b">
        <x:v>0</x:v>
      </x:c>
      <x:c r="J55" s="47" t="str">
        <x:v>target_not_economic_or_capacity_limited</x:v>
      </x:c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33" customHeight="1">
      <x:c r="A56" s="1"/>
      <x:c r="B56" s="1"/>
      <x:c r="C56" s="3" t="str">
        <x:v>H_70_120</x:v>
      </x:c>
      <x:c r="D56" s="15" t="n">
        <x:v>0.7</x:v>
      </x:c>
      <x:c r="E56" s="15" t="n">
        <x:v>1.2</x:v>
      </x:c>
      <x:c r="F56" s="15" t="n">
        <x:v>0.4593282874472319</x:v>
      </x:c>
      <x:c r="G56" s="4" t="n">
        <x:v>-0.11346369738758787</x:v>
      </x:c>
      <x:c r="H56" s="4" t="n">
        <x:v>-0.5235875437116648</x:v>
      </x:c>
      <x:c r="I56" s="46" t="b">
        <x:v>0</x:v>
      </x:c>
      <x:c r="J56" s="47" t="str">
        <x:v>target_not_economic_or_capacity_limited; service_risk_above_10pct_worlds</x:v>
      </x:c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33" customHeight="1">
      <x:c r="A57" s="1"/>
      <x:c r="B57" s="1"/>
      <x:c r="C57" s="3" t="str">
        <x:v>H_70_140</x:v>
      </x:c>
      <x:c r="D57" s="15" t="n">
        <x:v>0.7</x:v>
      </x:c>
      <x:c r="E57" s="15" t="n">
        <x:v>1.4</x:v>
      </x:c>
      <x:c r="F57" s="15" t="n">
        <x:v>0.3960752877260843</x:v>
      </x:c>
      <x:c r="G57" s="4" t="n">
        <x:v>-0.6367542340322959</x:v>
      </x:c>
      <x:c r="H57" s="4" t="n">
        <x:v>-1.9740712207952522</x:v>
      </x:c>
      <x:c r="I57" s="46" t="b">
        <x:v>0</x:v>
      </x:c>
      <x:c r="J57" s="47" t="str">
        <x:v>target_not_economic_or_capacity_limited; service_risk_above_10pct_worlds</x:v>
      </x:c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33" customHeight="1">
      <x:c r="A58" s="1"/>
      <x:c r="B58" s="1"/>
      <x:c r="C58" s="3" t="str">
        <x:v>H_75_80</x:v>
      </x:c>
      <x:c r="D58" s="15" t="n">
        <x:v>0.75</x:v>
      </x:c>
      <x:c r="E58" s="15" t="n">
        <x:v>0.8</x:v>
      </x:c>
      <x:c r="F58" s="15" t="n">
        <x:v>0.6358944937853361</x:v>
      </x:c>
      <x:c r="G58" s="4" t="n">
        <x:v>1.031381764427361</x:v>
      </x:c>
      <x:c r="H58" s="4" t="n">
        <x:v>2.0494324042982957</x:v>
      </x:c>
      <x:c r="I58" s="46" t="b">
        <x:v>0</x:v>
      </x:c>
      <x:c r="J58" s="47" t="str">
        <x:v>target_not_economic_or_capacity_limited</x:v>
      </x:c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33" customHeight="1">
      <x:c r="A59" s="1"/>
      <x:c r="B59" s="1"/>
      <x:c r="C59" s="3" t="str">
        <x:v>H_75_90</x:v>
      </x:c>
      <x:c r="D59" s="15" t="n">
        <x:v>0.75</x:v>
      </x:c>
      <x:c r="E59" s="15" t="n">
        <x:v>0.9</x:v>
      </x:c>
      <x:c r="F59" s="15" t="n">
        <x:v>0.5859579403179502</x:v>
      </x:c>
      <x:c r="G59" s="4" t="n">
        <x:v>0.7106007557594253</x:v>
      </x:c>
      <x:c r="H59" s="4" t="n">
        <x:v>1.3414188318849802</x:v>
      </x:c>
      <x:c r="I59" s="46" t="b">
        <x:v>0</x:v>
      </x:c>
      <x:c r="J59" s="47" t="str">
        <x:v>target_not_economic_or_capacity_limited</x:v>
      </x:c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33" customHeight="1">
      <x:c r="A60" s="1"/>
      <x:c r="B60" s="1"/>
      <x:c r="C60" s="3" t="str">
        <x:v>H_75_100</x:v>
      </x:c>
      <x:c r="D60" s="15" t="n">
        <x:v>0.75</x:v>
      </x:c>
      <x:c r="E60" s="15" t="n">
        <x:v>1</x:v>
      </x:c>
      <x:c r="F60" s="15" t="n">
        <x:v>0.5373300574942571</x:v>
      </x:c>
      <x:c r="G60" s="4" t="n">
        <x:v>0.33700818552759393</x:v>
      </x:c>
      <x:c r="H60" s="4" t="n">
        <x:v>0.5166960288650305</x:v>
      </x:c>
      <x:c r="I60" s="46" t="b">
        <x:v>0</x:v>
      </x:c>
      <x:c r="J60" s="47" t="str">
        <x:v>target_not_economic_or_capacity_limited</x:v>
      </x:c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33" customHeight="1">
      <x:c r="A61" s="1"/>
      <x:c r="B61" s="1"/>
      <x:c r="C61" s="3" t="str">
        <x:v>H_75_110</x:v>
      </x:c>
      <x:c r="D61" s="15" t="n">
        <x:v>0.75</x:v>
      </x:c>
      <x:c r="E61" s="15" t="n">
        <x:v>1.1</x:v>
      </x:c>
      <x:c r="F61" s="15" t="n">
        <x:v>0.4960647105420854</x:v>
      </x:c>
      <x:c r="G61" s="4" t="n">
        <x:v>0.08539359178562296</x:v>
      </x:c>
      <x:c r="H61" s="4" t="n">
        <x:v>-0.04255984951337437</x:v>
      </x:c>
      <x:c r="I61" s="46" t="b">
        <x:v>0</x:v>
      </x:c>
      <x:c r="J61" s="47" t="str">
        <x:v>target_not_economic_or_capacity_limited</x:v>
      </x:c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33" customHeight="1">
      <x:c r="A62" s="1"/>
      <x:c r="B62" s="1"/>
      <x:c r="C62" s="3" t="str">
        <x:v>H_75_120</x:v>
      </x:c>
      <x:c r="D62" s="15" t="n">
        <x:v>0.75</x:v>
      </x:c>
      <x:c r="E62" s="15" t="n">
        <x:v>1.2</x:v>
      </x:c>
      <x:c r="F62" s="15" t="n">
        <x:v>0.4593282874472319</x:v>
      </x:c>
      <x:c r="G62" s="4" t="n">
        <x:v>-0.11346369738758787</x:v>
      </x:c>
      <x:c r="H62" s="4" t="n">
        <x:v>-0.5235875437116648</x:v>
      </x:c>
      <x:c r="I62" s="46" t="b">
        <x:v>0</x:v>
      </x:c>
      <x:c r="J62" s="47" t="str">
        <x:v>target_not_economic_or_capacity_limited; service_risk_above_10pct_worlds</x:v>
      </x:c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33" customHeight="1">
      <x:c r="A63" s="1"/>
      <x:c r="B63" s="1"/>
      <x:c r="C63" s="3" t="str">
        <x:v>H_75_140</x:v>
      </x:c>
      <x:c r="D63" s="15" t="n">
        <x:v>0.75</x:v>
      </x:c>
      <x:c r="E63" s="15" t="n">
        <x:v>1.4</x:v>
      </x:c>
      <x:c r="F63" s="15" t="n">
        <x:v>0.3960752877260843</x:v>
      </x:c>
      <x:c r="G63" s="4" t="n">
        <x:v>-0.6367542340322959</x:v>
      </x:c>
      <x:c r="H63" s="4" t="n">
        <x:v>-1.9740712207952522</x:v>
      </x:c>
      <x:c r="I63" s="46" t="b">
        <x:v>0</x:v>
      </x:c>
      <x:c r="J63" s="47" t="str">
        <x:v>target_not_economic_or_capacity_limited; service_risk_above_10pct_worlds</x:v>
      </x:c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33" customHeight="1">
      <x:c r="A64" s="1"/>
      <x:c r="B64" s="1"/>
      <x:c r="C64" s="3" t="str">
        <x:v>H_80_80</x:v>
      </x:c>
      <x:c r="D64" s="15" t="n">
        <x:v>0.8</x:v>
      </x:c>
      <x:c r="E64" s="15" t="n">
        <x:v>0.8</x:v>
      </x:c>
      <x:c r="F64" s="15" t="n">
        <x:v>0.635899895284311</x:v>
      </x:c>
      <x:c r="G64" s="4" t="n">
        <x:v>1.0313995863075542</x:v>
      </x:c>
      <x:c r="H64" s="4" t="n">
        <x:v>2.0495025423054987</x:v>
      </x:c>
      <x:c r="I64" s="46" t="b">
        <x:v>0</x:v>
      </x:c>
      <x:c r="J64" s="47" t="str">
        <x:v>target_not_economic_or_capacity_limited</x:v>
      </x:c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33" customHeight="1">
      <x:c r="A65" s="1"/>
      <x:c r="B65" s="1"/>
      <x:c r="C65" s="3" t="str">
        <x:v>H_80_90</x:v>
      </x:c>
      <x:c r="D65" s="15" t="n">
        <x:v>0.8</x:v>
      </x:c>
      <x:c r="E65" s="15" t="n">
        <x:v>0.9</x:v>
      </x:c>
      <x:c r="F65" s="15" t="n">
        <x:v>0.5859579403179502</x:v>
      </x:c>
      <x:c r="G65" s="4" t="n">
        <x:v>0.7106007557594253</x:v>
      </x:c>
      <x:c r="H65" s="4" t="n">
        <x:v>1.3414188318849802</x:v>
      </x:c>
      <x:c r="I65" s="46" t="b">
        <x:v>0</x:v>
      </x:c>
      <x:c r="J65" s="47" t="str">
        <x:v>target_not_economic_or_capacity_limited</x:v>
      </x:c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33" customHeight="1">
      <x:c r="A66" s="1"/>
      <x:c r="B66" s="1"/>
      <x:c r="C66" s="3" t="str">
        <x:v>H_80_100</x:v>
      </x:c>
      <x:c r="D66" s="15" t="n">
        <x:v>0.8</x:v>
      </x:c>
      <x:c r="E66" s="15" t="n">
        <x:v>1</x:v>
      </x:c>
      <x:c r="F66" s="15" t="n">
        <x:v>0.5373300574942571</x:v>
      </x:c>
      <x:c r="G66" s="4" t="n">
        <x:v>0.33700818552759393</x:v>
      </x:c>
      <x:c r="H66" s="4" t="n">
        <x:v>0.5166960288650305</x:v>
      </x:c>
      <x:c r="I66" s="46" t="b">
        <x:v>0</x:v>
      </x:c>
      <x:c r="J66" s="47" t="str">
        <x:v>target_not_economic_or_capacity_limited</x:v>
      </x:c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33" customHeight="1">
      <x:c r="A67" s="1"/>
      <x:c r="B67" s="1"/>
      <x:c r="C67" s="3" t="str">
        <x:v>H_80_110</x:v>
      </x:c>
      <x:c r="D67" s="15" t="n">
        <x:v>0.8</x:v>
      </x:c>
      <x:c r="E67" s="15" t="n">
        <x:v>1.1</x:v>
      </x:c>
      <x:c r="F67" s="15" t="n">
        <x:v>0.4960647105420854</x:v>
      </x:c>
      <x:c r="G67" s="4" t="n">
        <x:v>0.08539359178562296</x:v>
      </x:c>
      <x:c r="H67" s="4" t="n">
        <x:v>-0.04255984951337437</x:v>
      </x:c>
      <x:c r="I67" s="46" t="b">
        <x:v>0</x:v>
      </x:c>
      <x:c r="J67" s="47" t="str">
        <x:v>target_not_economic_or_capacity_limited</x:v>
      </x:c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33" customHeight="1">
      <x:c r="A68" s="1"/>
      <x:c r="B68" s="1"/>
      <x:c r="C68" s="3" t="str">
        <x:v>H_80_120</x:v>
      </x:c>
      <x:c r="D68" s="15" t="n">
        <x:v>0.8</x:v>
      </x:c>
      <x:c r="E68" s="15" t="n">
        <x:v>1.2</x:v>
      </x:c>
      <x:c r="F68" s="15" t="n">
        <x:v>0.4593282874472319</x:v>
      </x:c>
      <x:c r="G68" s="4" t="n">
        <x:v>-0.11346369738758787</x:v>
      </x:c>
      <x:c r="H68" s="4" t="n">
        <x:v>-0.5235875437116648</x:v>
      </x:c>
      <x:c r="I68" s="46" t="b">
        <x:v>0</x:v>
      </x:c>
      <x:c r="J68" s="47" t="str">
        <x:v>target_not_economic_or_capacity_limited; service_risk_above_10pct_worlds</x:v>
      </x:c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33" customHeight="1">
      <x:c r="A69" s="1"/>
      <x:c r="B69" s="1"/>
      <x:c r="C69" s="3" t="str">
        <x:v>H_80_140</x:v>
      </x:c>
      <x:c r="D69" s="15" t="n">
        <x:v>0.8</x:v>
      </x:c>
      <x:c r="E69" s="15" t="n">
        <x:v>1.4</x:v>
      </x:c>
      <x:c r="F69" s="15" t="n">
        <x:v>0.3960752877260843</x:v>
      </x:c>
      <x:c r="G69" s="4" t="n">
        <x:v>-0.6367542340322959</x:v>
      </x:c>
      <x:c r="H69" s="4" t="n">
        <x:v>-1.9740712207952522</x:v>
      </x:c>
      <x:c r="I69" s="46" t="b">
        <x:v>0</x:v>
      </x:c>
      <x:c r="J69" s="47" t="str">
        <x:v>target_not_economic_or_capacity_limited; service_risk_above_10pct_worlds</x:v>
      </x:c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33" customHeight="1">
      <x:c r="A70" s="1"/>
      <x:c r="B70" s="1"/>
      <x:c r="C70" s="3" t="str">
        <x:v>H_85_80</x:v>
      </x:c>
      <x:c r="D70" s="15" t="n">
        <x:v>0.85</x:v>
      </x:c>
      <x:c r="E70" s="15" t="n">
        <x:v>0.8</x:v>
      </x:c>
      <x:c r="F70" s="15" t="n">
        <x:v>0.635899895284311</x:v>
      </x:c>
      <x:c r="G70" s="4" t="n">
        <x:v>1.0313995863075542</x:v>
      </x:c>
      <x:c r="H70" s="4" t="n">
        <x:v>2.0495025423054987</x:v>
      </x:c>
      <x:c r="I70" s="46" t="b">
        <x:v>0</x:v>
      </x:c>
      <x:c r="J70" s="47" t="str">
        <x:v>target_not_economic_or_capacity_limited</x:v>
      </x:c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33" customHeight="1">
      <x:c r="A71" s="1"/>
      <x:c r="B71" s="1"/>
      <x:c r="C71" s="3" t="str">
        <x:v>H_85_90</x:v>
      </x:c>
      <x:c r="D71" s="15" t="n">
        <x:v>0.85</x:v>
      </x:c>
      <x:c r="E71" s="15" t="n">
        <x:v>0.9</x:v>
      </x:c>
      <x:c r="F71" s="15" t="n">
        <x:v>0.5859579403179502</x:v>
      </x:c>
      <x:c r="G71" s="4" t="n">
        <x:v>0.7106007557594253</x:v>
      </x:c>
      <x:c r="H71" s="4" t="n">
        <x:v>1.3414188318849802</x:v>
      </x:c>
      <x:c r="I71" s="46" t="b">
        <x:v>0</x:v>
      </x:c>
      <x:c r="J71" s="47" t="str">
        <x:v>target_not_economic_or_capacity_limited</x:v>
      </x:c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33" customHeight="1">
      <x:c r="A72" s="1"/>
      <x:c r="B72" s="1"/>
      <x:c r="C72" s="3" t="str">
        <x:v>H_85_100</x:v>
      </x:c>
      <x:c r="D72" s="15" t="n">
        <x:v>0.85</x:v>
      </x:c>
      <x:c r="E72" s="15" t="n">
        <x:v>1</x:v>
      </x:c>
      <x:c r="F72" s="15" t="n">
        <x:v>0.5373300574942571</x:v>
      </x:c>
      <x:c r="G72" s="4" t="n">
        <x:v>0.33700818552759393</x:v>
      </x:c>
      <x:c r="H72" s="4" t="n">
        <x:v>0.5166960288650305</x:v>
      </x:c>
      <x:c r="I72" s="46" t="b">
        <x:v>0</x:v>
      </x:c>
      <x:c r="J72" s="47" t="str">
        <x:v>target_not_economic_or_capacity_limited</x:v>
      </x:c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33" customHeight="1">
      <x:c r="A73" s="1"/>
      <x:c r="B73" s="1"/>
      <x:c r="C73" s="3" t="str">
        <x:v>H_85_110</x:v>
      </x:c>
      <x:c r="D73" s="15" t="n">
        <x:v>0.85</x:v>
      </x:c>
      <x:c r="E73" s="15" t="n">
        <x:v>1.1</x:v>
      </x:c>
      <x:c r="F73" s="15" t="n">
        <x:v>0.4960647105420854</x:v>
      </x:c>
      <x:c r="G73" s="4" t="n">
        <x:v>0.08539359178562296</x:v>
      </x:c>
      <x:c r="H73" s="4" t="n">
        <x:v>-0.04255984951337437</x:v>
      </x:c>
      <x:c r="I73" s="46" t="b">
        <x:v>0</x:v>
      </x:c>
      <x:c r="J73" s="47" t="str">
        <x:v>target_not_economic_or_capacity_limited</x:v>
      </x:c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33" customHeight="1">
      <x:c r="A74" s="1"/>
      <x:c r="B74" s="1"/>
      <x:c r="C74" s="3" t="str">
        <x:v>H_85_120</x:v>
      </x:c>
      <x:c r="D74" s="15" t="n">
        <x:v>0.85</x:v>
      </x:c>
      <x:c r="E74" s="15" t="n">
        <x:v>1.2</x:v>
      </x:c>
      <x:c r="F74" s="15" t="n">
        <x:v>0.4593282874472319</x:v>
      </x:c>
      <x:c r="G74" s="4" t="n">
        <x:v>-0.11346369738758787</x:v>
      </x:c>
      <x:c r="H74" s="4" t="n">
        <x:v>-0.5235875437116648</x:v>
      </x:c>
      <x:c r="I74" s="46" t="b">
        <x:v>0</x:v>
      </x:c>
      <x:c r="J74" s="47" t="str">
        <x:v>target_not_economic_or_capacity_limited; service_risk_above_10pct_worlds</x:v>
      </x:c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33" customHeight="1">
      <x:c r="A75" s="1"/>
      <x:c r="B75" s="1"/>
      <x:c r="C75" s="3" t="str">
        <x:v>H_85_140</x:v>
      </x:c>
      <x:c r="D75" s="15" t="n">
        <x:v>0.85</x:v>
      </x:c>
      <x:c r="E75" s="15" t="n">
        <x:v>1.4</x:v>
      </x:c>
      <x:c r="F75" s="15" t="n">
        <x:v>0.3960752877260843</x:v>
      </x:c>
      <x:c r="G75" s="4" t="n">
        <x:v>-0.6367542340322959</x:v>
      </x:c>
      <x:c r="H75" s="4" t="n">
        <x:v>-1.9740712207952522</x:v>
      </x:c>
      <x:c r="I75" s="46" t="b">
        <x:v>0</x:v>
      </x:c>
      <x:c r="J75" s="47" t="str">
        <x:v>target_not_economic_or_capacity_limited; service_risk_above_10pct_worlds</x:v>
      </x:c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33" customHeight="1">
      <x:c r="A76" s="1"/>
      <x:c r="B76" s="1"/>
      <x:c r="C76" s="3" t="str">
        <x:v>H_90_80</x:v>
      </x:c>
      <x:c r="D76" s="15" t="n">
        <x:v>0.9</x:v>
      </x:c>
      <x:c r="E76" s="15" t="n">
        <x:v>0.8</x:v>
      </x:c>
      <x:c r="F76" s="15" t="n">
        <x:v>0.635899895284311</x:v>
      </x:c>
      <x:c r="G76" s="4" t="n">
        <x:v>1.0313995863075542</x:v>
      </x:c>
      <x:c r="H76" s="4" t="n">
        <x:v>2.0495025423054987</x:v>
      </x:c>
      <x:c r="I76" s="46" t="b">
        <x:v>0</x:v>
      </x:c>
      <x:c r="J76" s="47" t="str">
        <x:v>target_not_economic_or_capacity_limited</x:v>
      </x:c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33" customHeight="1">
      <x:c r="A77" s="1"/>
      <x:c r="B77" s="1"/>
      <x:c r="C77" s="3" t="str">
        <x:v>H_90_90</x:v>
      </x:c>
      <x:c r="D77" s="15" t="n">
        <x:v>0.9</x:v>
      </x:c>
      <x:c r="E77" s="15" t="n">
        <x:v>0.9</x:v>
      </x:c>
      <x:c r="F77" s="15" t="n">
        <x:v>0.5859579403179502</x:v>
      </x:c>
      <x:c r="G77" s="4" t="n">
        <x:v>0.7106007557594253</x:v>
      </x:c>
      <x:c r="H77" s="4" t="n">
        <x:v>1.3414188318849802</x:v>
      </x:c>
      <x:c r="I77" s="46" t="b">
        <x:v>0</x:v>
      </x:c>
      <x:c r="J77" s="47" t="str">
        <x:v>target_not_economic_or_capacity_limited</x:v>
      </x:c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33" customHeight="1">
      <x:c r="A78" s="1"/>
      <x:c r="B78" s="1"/>
      <x:c r="C78" s="3" t="str">
        <x:v>H_90_100</x:v>
      </x:c>
      <x:c r="D78" s="15" t="n">
        <x:v>0.9</x:v>
      </x:c>
      <x:c r="E78" s="15" t="n">
        <x:v>1</x:v>
      </x:c>
      <x:c r="F78" s="15" t="n">
        <x:v>0.5373300574942571</x:v>
      </x:c>
      <x:c r="G78" s="4" t="n">
        <x:v>0.33700818552759393</x:v>
      </x:c>
      <x:c r="H78" s="4" t="n">
        <x:v>0.5166960288650305</x:v>
      </x:c>
      <x:c r="I78" s="46" t="b">
        <x:v>0</x:v>
      </x:c>
      <x:c r="J78" s="47" t="str">
        <x:v>target_not_economic_or_capacity_limited</x:v>
      </x:c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33" customHeight="1">
      <x:c r="A79" s="1"/>
      <x:c r="B79" s="1"/>
      <x:c r="C79" s="3" t="str">
        <x:v>H_90_110</x:v>
      </x:c>
      <x:c r="D79" s="15" t="n">
        <x:v>0.9</x:v>
      </x:c>
      <x:c r="E79" s="15" t="n">
        <x:v>1.1</x:v>
      </x:c>
      <x:c r="F79" s="15" t="n">
        <x:v>0.4960647105420854</x:v>
      </x:c>
      <x:c r="G79" s="4" t="n">
        <x:v>0.08539359178562296</x:v>
      </x:c>
      <x:c r="H79" s="4" t="n">
        <x:v>-0.04255984951337437</x:v>
      </x:c>
      <x:c r="I79" s="46" t="b">
        <x:v>0</x:v>
      </x:c>
      <x:c r="J79" s="47" t="str">
        <x:v>target_not_economic_or_capacity_limited</x:v>
      </x:c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33" customHeight="1">
      <x:c r="A80" s="1"/>
      <x:c r="B80" s="1"/>
      <x:c r="C80" s="3" t="str">
        <x:v>H_90_120</x:v>
      </x:c>
      <x:c r="D80" s="15" t="n">
        <x:v>0.9</x:v>
      </x:c>
      <x:c r="E80" s="15" t="n">
        <x:v>1.2</x:v>
      </x:c>
      <x:c r="F80" s="15" t="n">
        <x:v>0.4593282874472319</x:v>
      </x:c>
      <x:c r="G80" s="4" t="n">
        <x:v>-0.11346369738758787</x:v>
      </x:c>
      <x:c r="H80" s="4" t="n">
        <x:v>-0.5235875437116648</x:v>
      </x:c>
      <x:c r="I80" s="46" t="b">
        <x:v>0</x:v>
      </x:c>
      <x:c r="J80" s="47" t="str">
        <x:v>target_not_economic_or_capacity_limited; service_risk_above_10pct_worlds</x:v>
      </x:c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33" customHeight="1">
      <x:c r="A81" s="1"/>
      <x:c r="B81" s="1"/>
      <x:c r="C81" s="3" t="str">
        <x:v>H_90_140</x:v>
      </x:c>
      <x:c r="D81" s="15" t="n">
        <x:v>0.9</x:v>
      </x:c>
      <x:c r="E81" s="15" t="n">
        <x:v>1.4</x:v>
      </x:c>
      <x:c r="F81" s="15" t="n">
        <x:v>0.3960752877260843</x:v>
      </x:c>
      <x:c r="G81" s="4" t="n">
        <x:v>-0.6367542340322959</x:v>
      </x:c>
      <x:c r="H81" s="4" t="n">
        <x:v>-1.9740712207952522</x:v>
      </x:c>
      <x:c r="I81" s="46" t="b">
        <x:v>0</x:v>
      </x:c>
      <x:c r="J81" s="47" t="str">
        <x:v>target_not_economic_or_capacity_limited; service_risk_above_10pct_worlds</x:v>
      </x:c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33" customHeight="1">
      <x:c r="A82" s="1"/>
      <x:c r="B82" s="1"/>
      <x:c r="C82" s="3" t="str">
        <x:v>H_95_80</x:v>
      </x:c>
      <x:c r="D82" s="15" t="n">
        <x:v>0.95</x:v>
      </x:c>
      <x:c r="E82" s="15" t="n">
        <x:v>0.8</x:v>
      </x:c>
      <x:c r="F82" s="15" t="n">
        <x:v>0.635899895284311</x:v>
      </x:c>
      <x:c r="G82" s="4" t="n">
        <x:v>1.0313995863075542</x:v>
      </x:c>
      <x:c r="H82" s="4" t="n">
        <x:v>2.0495025423054987</x:v>
      </x:c>
      <x:c r="I82" s="46" t="b">
        <x:v>0</x:v>
      </x:c>
      <x:c r="J82" s="47" t="str">
        <x:v>target_not_economic_or_capacity_limited</x:v>
      </x:c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33" customHeight="1">
      <x:c r="A83" s="1"/>
      <x:c r="B83" s="1"/>
      <x:c r="C83" s="3" t="str">
        <x:v>H_95_90</x:v>
      </x:c>
      <x:c r="D83" s="15" t="n">
        <x:v>0.95</x:v>
      </x:c>
      <x:c r="E83" s="15" t="n">
        <x:v>0.9</x:v>
      </x:c>
      <x:c r="F83" s="15" t="n">
        <x:v>0.5859579403179502</x:v>
      </x:c>
      <x:c r="G83" s="4" t="n">
        <x:v>0.7106007557594253</x:v>
      </x:c>
      <x:c r="H83" s="4" t="n">
        <x:v>1.3414188318849802</x:v>
      </x:c>
      <x:c r="I83" s="46" t="b">
        <x:v>0</x:v>
      </x:c>
      <x:c r="J83" s="47" t="str">
        <x:v>target_not_economic_or_capacity_limited</x:v>
      </x:c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33" customHeight="1">
      <x:c r="A84" s="1"/>
      <x:c r="B84" s="1"/>
      <x:c r="C84" s="3" t="str">
        <x:v>H_95_100</x:v>
      </x:c>
      <x:c r="D84" s="15" t="n">
        <x:v>0.95</x:v>
      </x:c>
      <x:c r="E84" s="15" t="n">
        <x:v>1</x:v>
      </x:c>
      <x:c r="F84" s="15" t="n">
        <x:v>0.5373300574942571</x:v>
      </x:c>
      <x:c r="G84" s="4" t="n">
        <x:v>0.33700818552759393</x:v>
      </x:c>
      <x:c r="H84" s="4" t="n">
        <x:v>0.5166960288650305</x:v>
      </x:c>
      <x:c r="I84" s="46" t="b">
        <x:v>0</x:v>
      </x:c>
      <x:c r="J84" s="47" t="str">
        <x:v>target_not_economic_or_capacity_limited</x:v>
      </x:c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33" customHeight="1">
      <x:c r="A85" s="1"/>
      <x:c r="B85" s="1"/>
      <x:c r="C85" s="3" t="str">
        <x:v>H_95_110</x:v>
      </x:c>
      <x:c r="D85" s="15" t="n">
        <x:v>0.95</x:v>
      </x:c>
      <x:c r="E85" s="15" t="n">
        <x:v>1.1</x:v>
      </x:c>
      <x:c r="F85" s="15" t="n">
        <x:v>0.4960647105420854</x:v>
      </x:c>
      <x:c r="G85" s="4" t="n">
        <x:v>0.08539359178562296</x:v>
      </x:c>
      <x:c r="H85" s="4" t="n">
        <x:v>-0.04255984951337437</x:v>
      </x:c>
      <x:c r="I85" s="46" t="b">
        <x:v>0</x:v>
      </x:c>
      <x:c r="J85" s="47" t="str">
        <x:v>target_not_economic_or_capacity_limited</x:v>
      </x:c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33" customHeight="1">
      <x:c r="A86" s="1"/>
      <x:c r="B86" s="1"/>
      <x:c r="C86" s="3" t="str">
        <x:v>H_95_120</x:v>
      </x:c>
      <x:c r="D86" s="15" t="n">
        <x:v>0.95</x:v>
      </x:c>
      <x:c r="E86" s="15" t="n">
        <x:v>1.2</x:v>
      </x:c>
      <x:c r="F86" s="15" t="n">
        <x:v>0.4593282874472319</x:v>
      </x:c>
      <x:c r="G86" s="4" t="n">
        <x:v>-0.11346369738758787</x:v>
      </x:c>
      <x:c r="H86" s="4" t="n">
        <x:v>-0.5235875437116648</x:v>
      </x:c>
      <x:c r="I86" s="46" t="b">
        <x:v>0</x:v>
      </x:c>
      <x:c r="J86" s="47" t="str">
        <x:v>target_not_economic_or_capacity_limited; service_risk_above_10pct_worlds</x:v>
      </x:c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33" customHeight="1">
      <x:c r="A87" s="1"/>
      <x:c r="B87" s="1"/>
      <x:c r="C87" s="3" t="str">
        <x:v>H_95_140</x:v>
      </x:c>
      <x:c r="D87" s="15" t="n">
        <x:v>0.95</x:v>
      </x:c>
      <x:c r="E87" s="15" t="n">
        <x:v>1.4</x:v>
      </x:c>
      <x:c r="F87" s="15" t="n">
        <x:v>0.3960752877260843</x:v>
      </x:c>
      <x:c r="G87" s="4" t="n">
        <x:v>-0.6367542340322959</x:v>
      </x:c>
      <x:c r="H87" s="4" t="n">
        <x:v>-1.9740712207952522</x:v>
      </x:c>
      <x:c r="I87" s="46" t="b">
        <x:v>0</x:v>
      </x:c>
      <x:c r="J87" s="47" t="str">
        <x:v>target_not_economic_or_capacity_limited; service_risk_above_10pct_worlds</x:v>
      </x:c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conditionalFormatting sqref="D7:I17">
    <x:cfRule type="colorScale" priority="1">
      <x:colorScale>
        <x:cfvo type="min"/>
        <x:cfvo type="percentile" val="50"/>
        <x:cfvo type="max"/>
        <x:color rgb="FFEFC3C3"/>
        <x:color rgb="FFFFFFFF"/>
        <x:color rgb="FFB8D5C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Marginal cost, committed costs and capacity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3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32" customHeight="1">
      <x:c r="A5" s="1"/>
      <x:c r="B5" s="1"/>
      <x:c r="C5" s="13" t="str">
        <x:v>Market type</x:v>
      </x:c>
      <x:c r="D5" s="14" t="str">
        <x:v>Weight</x:v>
      </x:c>
      <x:c r="E5" s="14" t="str">
        <x:v>Historical share</x:v>
      </x:c>
      <x:c r="F5" s="14" t="str">
        <x:v>Type demand bn</x:v>
      </x:c>
      <x:c r="G5" s="14" t="str">
        <x:v>Internal q0 bn</x:v>
      </x:c>
      <x:c r="H5" s="14" t="str">
        <x:v>Capacity bn</x:v>
      </x:c>
      <x:c r="I5" s="14" t="str">
        <x:v>Avg internal IDR</x:v>
      </x:c>
      <x:c r="J5" s="14" t="str">
        <x:v>External IDR</x:v>
      </x:c>
      <x:c r="K5" s="14" t="str">
        <x:v>Fixed fraction</x:v>
      </x:c>
      <x:c r="L5" s="14" t="str">
        <x:v>Fixed cost tn</x:v>
      </x:c>
      <x:c r="M5" s="14" t="str">
        <x:v>Variable IDR</x:v>
      </x:c>
      <x:c r="N5" s="14" t="str">
        <x:v>Utilisation</x:v>
      </x:c>
      <x:c r="O5" s="4"/>
      <x:c r="P5" s="4"/>
      <x:c r="Q5" s="4"/>
      <x:c r="R5" s="4"/>
      <x:c r="S5" s="4"/>
      <x:c r="T5" s="4"/>
      <x:c r="U5" s="4"/>
      <x:c r="V5" s="4"/>
    </x:row>
    <x:row r="6" ht="22" customHeight="1">
      <x:c r="A6" s="1"/>
      <x:c r="B6" s="1"/>
      <x:c r="C6" s="3" t="str">
        <x:v>dense_urban</x:v>
      </x:c>
      <x:c r="D6" s="15" t="n">
        <x:v>0.35</x:v>
      </x:c>
      <x:c r="E6" s="15" t="n">
        <x:v>0.8</x:v>
      </x:c>
      <x:c r="F6" s="28" t="n">
        <x:f>D6*'Case Facts'!$D$8</x:f>
        <x:v>0.7</x:v>
      </x:c>
      <x:c r="G6" s="17" t="n">
        <x:f>F6*E6</x:f>
        <x:v>0.5599999999999999</x:v>
      </x:c>
      <x:c r="H6" s="4" t="n">
        <x:v>0.64</x:v>
      </x:c>
      <x:c r="I6" s="16" t="n">
        <x:v>7000</x:v>
      </x:c>
      <x:c r="J6" s="16" t="n">
        <x:v>10000</x:v>
      </x:c>
      <x:c r="K6" s="15" t="n">
        <x:v>0.25</x:v>
      </x:c>
      <x:c r="L6" s="17" t="n">
        <x:f>G6*I6*K6/1000</x:f>
        <x:v>0.9799999999999999</x:v>
      </x:c>
      <x:c r="M6" s="17" t="n">
        <x:f>I6*(1-K6)-IF(G6=0,0,3500*MAX(G6-0.85*H6,0)^2/(0.30*H6)/G6)</x:f>
        <x:v>5241.666666666667</x:v>
      </x:c>
      <x:c r="N6" s="19" t="n">
        <x:f>G6/H6</x:f>
        <x:v>0.8749999999999999</x:v>
      </x:c>
      <x:c r="O6" s="4"/>
      <x:c r="P6" s="4"/>
      <x:c r="Q6" s="4"/>
      <x:c r="R6" s="4"/>
      <x:c r="S6" s="4"/>
      <x:c r="T6" s="4"/>
      <x:c r="U6" s="4"/>
      <x:c r="V6" s="4"/>
    </x:row>
    <x:row r="7" ht="22" customHeight="1">
      <x:c r="A7" s="1"/>
      <x:c r="B7" s="1"/>
      <x:c r="C7" s="3" t="str">
        <x:v>suburban</x:v>
      </x:c>
      <x:c r="D7" s="15" t="n">
        <x:v>0.3</x:v>
      </x:c>
      <x:c r="E7" s="15" t="n">
        <x:v>0.6</x:v>
      </x:c>
      <x:c r="F7" s="28" t="n">
        <x:f>D7*'Case Facts'!$D$8</x:f>
        <x:v>0.6</x:v>
      </x:c>
      <x:c r="G7" s="17" t="n">
        <x:f>F7*E7</x:f>
        <x:v>0.36</x:v>
      </x:c>
      <x:c r="H7" s="4" t="n">
        <x:v>0.43</x:v>
      </x:c>
      <x:c r="I7" s="16" t="n">
        <x:v>8500</x:v>
      </x:c>
      <x:c r="J7" s="16" t="n">
        <x:v>11000</x:v>
      </x:c>
      <x:c r="K7" s="15" t="n">
        <x:v>0.25</x:v>
      </x:c>
      <x:c r="L7" s="17" t="n">
        <x:f>G7*I7*K7/1000</x:f>
        <x:v>0.765</x:v>
      </x:c>
      <x:c r="M7" s="17" t="n">
        <x:f>I7*(1-K7)-IF(G7=0,0,4500*MAX(G7-0.85*H7,0)^2/(0.30*H7)/G7)</x:f>
        <x:v>6375</x:v>
      </x:c>
      <x:c r="N7" s="19" t="n">
        <x:f>G7/H7</x:f>
        <x:v>0.8372093023255813</x:v>
      </x:c>
      <x:c r="O7" s="4"/>
      <x:c r="P7" s="4"/>
      <x:c r="Q7" s="4"/>
      <x:c r="R7" s="4"/>
      <x:c r="S7" s="4"/>
      <x:c r="T7" s="4"/>
      <x:c r="U7" s="4"/>
      <x:c r="V7" s="4"/>
    </x:row>
    <x:row r="8" ht="22" customHeight="1">
      <x:c r="A8" s="1"/>
      <x:c r="B8" s="1"/>
      <x:c r="C8" s="3" t="str">
        <x:v>regional</x:v>
      </x:c>
      <x:c r="D8" s="15" t="n">
        <x:v>0.25</x:v>
      </x:c>
      <x:c r="E8" s="15" t="n">
        <x:v>0.16</x:v>
      </x:c>
      <x:c r="F8" s="28" t="n">
        <x:f>D8*'Case Facts'!$D$8</x:f>
        <x:v>0.5</x:v>
      </x:c>
      <x:c r="G8" s="17" t="n">
        <x:f>F8*E8</x:f>
        <x:v>0.08</x:v>
      </x:c>
      <x:c r="H8" s="4" t="n">
        <x:v>0.13</x:v>
      </x:c>
      <x:c r="I8" s="16" t="n">
        <x:v>12750</x:v>
      </x:c>
      <x:c r="J8" s="16" t="n">
        <x:v>12000</x:v>
      </x:c>
      <x:c r="K8" s="15" t="n">
        <x:v>0.25</x:v>
      </x:c>
      <x:c r="L8" s="17" t="n">
        <x:f>G8*I8*K8/1000</x:f>
        <x:v>0.255</x:v>
      </x:c>
      <x:c r="M8" s="17" t="n">
        <x:f>I8*(1-K8)-IF(G8=0,0,6500*MAX(G8-0.85*H8,0)^2/(0.30*H8)/G8)</x:f>
        <x:v>9562.5</x:v>
      </x:c>
      <x:c r="N8" s="19" t="n">
        <x:f>G8/H8</x:f>
        <x:v>0.6153846153846154</x:v>
      </x:c>
      <x:c r="O8" s="4"/>
      <x:c r="P8" s="4"/>
      <x:c r="Q8" s="4"/>
      <x:c r="R8" s="4"/>
      <x:c r="S8" s="4"/>
      <x:c r="T8" s="4"/>
      <x:c r="U8" s="4"/>
      <x:c r="V8" s="4"/>
    </x:row>
    <x:row r="9" ht="22" customHeight="1">
      <x:c r="A9" s="1"/>
      <x:c r="B9" s="1"/>
      <x:c r="C9" s="3" t="str">
        <x:v>difficult</x:v>
      </x:c>
      <x:c r="D9" s="15" t="n">
        <x:v>0.1</x:v>
      </x:c>
      <x:c r="E9" s="15" t="n">
        <x:v>0</x:v>
      </x:c>
      <x:c r="F9" s="28" t="n">
        <x:f>D9*'Case Facts'!$D$8</x:f>
        <x:v>0.2</x:v>
      </x:c>
      <x:c r="G9" s="17" t="n">
        <x:f>F9*E9</x:f>
        <x:v>0</x:v>
      </x:c>
      <x:c r="H9" s="4" t="n">
        <x:v>0.02</x:v>
      </x:c>
      <x:c r="I9" s="16" t="n">
        <x:v>18000</x:v>
      </x:c>
      <x:c r="J9" s="16" t="n">
        <x:v>14600</x:v>
      </x:c>
      <x:c r="K9" s="15" t="n">
        <x:v>0.25</x:v>
      </x:c>
      <x:c r="L9" s="17" t="n">
        <x:f>G9*I9*K9/1000</x:f>
        <x:v>0</x:v>
      </x:c>
      <x:c r="M9" s="17" t="n">
        <x:f>I9*(1-K9)-IF(G9=0,0,8000*MAX(G9-0.85*H9,0)^2/(0.30*H9)/G9)</x:f>
        <x:v>13500</x:v>
      </x:c>
      <x:c r="N9" s="19" t="n">
        <x:f>G9/H9</x:f>
        <x:v>0</x:v>
      </x:c>
      <x:c r="O9" s="4"/>
      <x:c r="P9" s="4"/>
      <x:c r="Q9" s="4"/>
      <x:c r="R9" s="4"/>
      <x:c r="S9" s="4"/>
      <x:c r="T9" s="4"/>
      <x:c r="U9" s="4"/>
      <x:c r="V9" s="4"/>
    </x:row>
    <x:row r="10" ht="22" customHeight="1">
      <x:c r="A10" s="1"/>
      <x:c r="B10" s="1"/>
      <x:c r="C10" s="3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22" customHeight="1">
      <x:c r="A11" s="1"/>
      <x:c r="B11" s="1"/>
      <x:c r="C11" s="3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32" customHeight="1">
      <x:c r="A12" s="1"/>
      <x:c r="B12" s="1"/>
      <x:c r="C12" s="13" t="str">
        <x:v>Capacity interpretation</x:v>
      </x:c>
      <x:c r="D12" s="14" t="str">
        <x:v>Parcel capacity bn</x:v>
      </x:c>
      <x:c r="E12" s="14" t="str">
        <x:v>Truck equivalents</x:v>
      </x:c>
      <x:c r="F12" s="14" t="str">
        <x:v>Courier equivalents</x:v>
      </x:c>
      <x:c r="G12" s="14" t="str">
        <x:v>Sort parcels/hour</x:v>
      </x:c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22" customHeight="1">
      <x:c r="A13" s="1"/>
      <x:c r="B13" s="1"/>
      <x:c r="C13" s="3" t="str">
        <x:v>dense_urban</x:v>
      </x:c>
      <x:c r="D13" s="17" t="n">
        <x:f>H6</x:f>
        <x:v>0.64</x:v>
      </x:c>
      <x:c r="E13" s="48" t="n">
        <x:f>ROUNDUP(D13*1000000000/365/2400,0)</x:f>
        <x:v>731</x:v>
      </x:c>
      <x:c r="F13" s="48" t="n">
        <x:f>ROUNDUP(D13*1000000000/365/80,0)</x:f>
        <x:v>21918</x:v>
      </x:c>
      <x:c r="G13" s="48" t="n">
        <x:f>D13*1000000000/365/8</x:f>
        <x:v>219178.08219178082</x:v>
      </x:c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22" customHeight="1">
      <x:c r="A14" s="1"/>
      <x:c r="B14" s="1"/>
      <x:c r="C14" s="3" t="str">
        <x:v>suburban</x:v>
      </x:c>
      <x:c r="D14" s="17" t="n">
        <x:f>H7</x:f>
        <x:v>0.43</x:v>
      </x:c>
      <x:c r="E14" s="48" t="n">
        <x:f>ROUNDUP(D14*1000000000/365/2400,0)</x:f>
        <x:v>491</x:v>
      </x:c>
      <x:c r="F14" s="48" t="n">
        <x:f>ROUNDUP(D14*1000000000/365/80,0)</x:f>
        <x:v>14727</x:v>
      </x:c>
      <x:c r="G14" s="48" t="n">
        <x:f>D14*1000000000/365/8</x:f>
        <x:v>147260.27397260274</x:v>
      </x:c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22" customHeight="1">
      <x:c r="A15" s="1"/>
      <x:c r="B15" s="1"/>
      <x:c r="C15" s="3" t="str">
        <x:v>regional</x:v>
      </x:c>
      <x:c r="D15" s="17" t="n">
        <x:f>H8</x:f>
        <x:v>0.13</x:v>
      </x:c>
      <x:c r="E15" s="48" t="n">
        <x:f>ROUNDUP(D15*1000000000/365/2400,0)</x:f>
        <x:v>149</x:v>
      </x:c>
      <x:c r="F15" s="48" t="n">
        <x:f>ROUNDUP(D15*1000000000/365/80,0)</x:f>
        <x:v>4453</x:v>
      </x:c>
      <x:c r="G15" s="48" t="n">
        <x:f>D15*1000000000/365/8</x:f>
        <x:v>44520.54794520548</x:v>
      </x:c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22" customHeight="1">
      <x:c r="A16" s="1"/>
      <x:c r="B16" s="1"/>
      <x:c r="C16" s="3" t="str">
        <x:v>difficult</x:v>
      </x:c>
      <x:c r="D16" s="17" t="n">
        <x:f>H9</x:f>
        <x:v>0.02</x:v>
      </x:c>
      <x:c r="E16" s="48" t="n">
        <x:f>ROUNDUP(D16*1000000000/365/2400,0)</x:f>
        <x:v>23</x:v>
      </x:c>
      <x:c r="F16" s="48" t="n">
        <x:f>ROUNDUP(D16*1000000000/365/80,0)</x:f>
        <x:v>685</x:v>
      </x:c>
      <x:c r="G16" s="48" t="n">
        <x:f>D16*1000000000/365/8</x:f>
        <x:v>6849.315068493151</x:v>
      </x:c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22" customHeight="1">
      <x:c r="A17" s="1"/>
      <x:c r="B17" s="1"/>
      <x:c r="C17" s="3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22" customHeight="1">
      <x:c r="A18" s="1"/>
      <x:c r="B18" s="1"/>
      <x:c r="C18" s="21" t="str">
        <x:v>Hypothetical equivalents: 2,400 parcels/truck-day; 80/courier-day; 8 sort hours. Not an observed fleet count.</x:v>
      </x:c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3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21" t="str">
        <x:v>Effective capacity is the minimum of hub, linehaul and courier ceilings; upgrades must deliver all three.</x:v>
      </x:c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32" customHeight="1">
      <x:c r="A23" s="1"/>
      <x:c r="B23" s="1"/>
      <x:c r="C23" s="13" t="str">
        <x:v>Market type</x:v>
      </x:c>
      <x:c r="D23" s="14" t="str">
        <x:v>Capacity use</x:v>
      </x:c>
      <x:c r="E23" s="14" t="str">
        <x:v>Internal q bn</x:v>
      </x:c>
      <x:c r="F23" s="14" t="str">
        <x:v>Average IDR</x:v>
      </x:c>
      <x:c r="G23" s="14" t="str">
        <x:v>Marginal IDR</x:v>
      </x:c>
      <x:c r="H23" s="14" t="str">
        <x:v>External IDR</x:v>
      </x:c>
      <x:c r="I23" s="14" t="str">
        <x:v>Within capacity</x:v>
      </x:c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 t="str">
        <x:v>dense_urban</x:v>
      </x:c>
      <x:c r="D24" s="15" t="n">
        <x:v>0</x:v>
      </x:c>
      <x:c r="E24" s="4" t="n">
        <x:v>0</x:v>
      </x:c>
      <x:c r="F24" s="16"/>
      <x:c r="G24" s="16" t="n">
        <x:v>5241.666666666667</x:v>
      </x:c>
      <x:c r="H24" s="16" t="n">
        <x:v>10000</x:v>
      </x:c>
      <x:c r="I24" s="46" t="b">
        <x:v>1</x:v>
      </x:c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 t="str">
        <x:v>dense_urban</x:v>
      </x:c>
      <x:c r="D25" s="15" t="n">
        <x:v>0.05</x:v>
      </x:c>
      <x:c r="E25" s="4" t="n">
        <x:v>0.032</x:v>
      </x:c>
      <x:c r="F25" s="16" t="n">
        <x:v>35866.666666666664</x:v>
      </x:c>
      <x:c r="G25" s="16" t="n">
        <x:v>5241.666666666667</x:v>
      </x:c>
      <x:c r="H25" s="16" t="n">
        <x:v>10000</x:v>
      </x:c>
      <x:c r="I25" s="46" t="b">
        <x:v>1</x:v>
      </x:c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 t="str">
        <x:v>dense_urban</x:v>
      </x:c>
      <x:c r="D26" s="15" t="n">
        <x:v>0.1</x:v>
      </x:c>
      <x:c r="E26" s="4" t="n">
        <x:v>0.064</x:v>
      </x:c>
      <x:c r="F26" s="16" t="n">
        <x:v>20554.166666666664</x:v>
      </x:c>
      <x:c r="G26" s="16" t="n">
        <x:v>5241.666666666667</x:v>
      </x:c>
      <x:c r="H26" s="16" t="n">
        <x:v>10000</x:v>
      </x:c>
      <x:c r="I26" s="46" t="b">
        <x:v>1</x:v>
      </x:c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 t="str">
        <x:v>dense_urban</x:v>
      </x:c>
      <x:c r="D27" s="15" t="n">
        <x:v>0.15000000000000002</x:v>
      </x:c>
      <x:c r="E27" s="4" t="n">
        <x:v>0.09600000000000002</x:v>
      </x:c>
      <x:c r="F27" s="16" t="n">
        <x:v>15449.999999999998</x:v>
      </x:c>
      <x:c r="G27" s="16" t="n">
        <x:v>5241.666666666667</x:v>
      </x:c>
      <x:c r="H27" s="16" t="n">
        <x:v>10000</x:v>
      </x:c>
      <x:c r="I27" s="46" t="b">
        <x:v>1</x:v>
      </x:c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 t="str">
        <x:v>dense_urban</x:v>
      </x:c>
      <x:c r="D28" s="15" t="n">
        <x:v>0.2</x:v>
      </x:c>
      <x:c r="E28" s="4" t="n">
        <x:v>0.128</x:v>
      </x:c>
      <x:c r="F28" s="16" t="n">
        <x:v>12897.916666666666</x:v>
      </x:c>
      <x:c r="G28" s="16" t="n">
        <x:v>5241.666666666667</x:v>
      </x:c>
      <x:c r="H28" s="16" t="n">
        <x:v>10000</x:v>
      </x:c>
      <x:c r="I28" s="46" t="b">
        <x:v>1</x:v>
      </x:c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 t="str">
        <x:v>dense_urban</x:v>
      </x:c>
      <x:c r="D29" s="15" t="n">
        <x:v>0.25</x:v>
      </x:c>
      <x:c r="E29" s="4" t="n">
        <x:v>0.16</x:v>
      </x:c>
      <x:c r="F29" s="16" t="n">
        <x:v>11366.666666666668</x:v>
      </x:c>
      <x:c r="G29" s="16" t="n">
        <x:v>5241.666666666667</x:v>
      </x:c>
      <x:c r="H29" s="16" t="n">
        <x:v>10000</x:v>
      </x:c>
      <x:c r="I29" s="46" t="b">
        <x:v>1</x:v>
      </x:c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 t="str">
        <x:v>dense_urban</x:v>
      </x:c>
      <x:c r="D30" s="15" t="n">
        <x:v>0.30000000000000004</x:v>
      </x:c>
      <x:c r="E30" s="4" t="n">
        <x:v>0.19200000000000003</x:v>
      </x:c>
      <x:c r="F30" s="16" t="n">
        <x:v>10345.833333333334</x:v>
      </x:c>
      <x:c r="G30" s="16" t="n">
        <x:v>5241.666666666667</x:v>
      </x:c>
      <x:c r="H30" s="16" t="n">
        <x:v>10000</x:v>
      </x:c>
      <x:c r="I30" s="46" t="b">
        <x:v>1</x:v>
      </x:c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 t="str">
        <x:v>dense_urban</x:v>
      </x:c>
      <x:c r="D31" s="15" t="n">
        <x:v>0.35000000000000003</x:v>
      </x:c>
      <x:c r="E31" s="4" t="n">
        <x:v>0.22400000000000003</x:v>
      </x:c>
      <x:c r="F31" s="16" t="n">
        <x:v>9616.666666666668</x:v>
      </x:c>
      <x:c r="G31" s="16" t="n">
        <x:v>5241.666666666667</x:v>
      </x:c>
      <x:c r="H31" s="16" t="n">
        <x:v>10000</x:v>
      </x:c>
      <x:c r="I31" s="46" t="b">
        <x:v>1</x:v>
      </x:c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 t="str">
        <x:v>dense_urban</x:v>
      </x:c>
      <x:c r="D32" s="15" t="n">
        <x:v>0.4</x:v>
      </x:c>
      <x:c r="E32" s="4" t="n">
        <x:v>0.256</x:v>
      </x:c>
      <x:c r="F32" s="16" t="n">
        <x:v>9069.791666666668</x:v>
      </x:c>
      <x:c r="G32" s="16" t="n">
        <x:v>5241.666666666667</x:v>
      </x:c>
      <x:c r="H32" s="16" t="n">
        <x:v>10000</x:v>
      </x:c>
      <x:c r="I32" s="46" t="b">
        <x:v>1</x:v>
      </x:c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 t="str">
        <x:v>dense_urban</x:v>
      </x:c>
      <x:c r="D33" s="15" t="n">
        <x:v>0.45</x:v>
      </x:c>
      <x:c r="E33" s="4" t="n">
        <x:v>0.28800000000000003</x:v>
      </x:c>
      <x:c r="F33" s="16" t="n">
        <x:v>8644.444444444443</x:v>
      </x:c>
      <x:c r="G33" s="16" t="n">
        <x:v>5241.666666666667</x:v>
      </x:c>
      <x:c r="H33" s="16" t="n">
        <x:v>10000</x:v>
      </x:c>
      <x:c r="I33" s="46" t="b">
        <x:v>1</x:v>
      </x:c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 t="str">
        <x:v>dense_urban</x:v>
      </x:c>
      <x:c r="D34" s="15" t="n">
        <x:v>0.5</x:v>
      </x:c>
      <x:c r="E34" s="4" t="n">
        <x:v>0.32</x:v>
      </x:c>
      <x:c r="F34" s="16" t="n">
        <x:v>8304.166666666668</x:v>
      </x:c>
      <x:c r="G34" s="16" t="n">
        <x:v>5241.666666666667</x:v>
      </x:c>
      <x:c r="H34" s="16" t="n">
        <x:v>10000</x:v>
      </x:c>
      <x:c r="I34" s="46" t="b">
        <x:v>1</x:v>
      </x:c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 t="str">
        <x:v>dense_urban</x:v>
      </x:c>
      <x:c r="D35" s="15" t="n">
        <x:v>0.55</x:v>
      </x:c>
      <x:c r="E35" s="4" t="n">
        <x:v>0.35200000000000004</x:v>
      </x:c>
      <x:c r="F35" s="16" t="n">
        <x:v>8025.757575757575</x:v>
      </x:c>
      <x:c r="G35" s="16" t="n">
        <x:v>5241.666666666667</x:v>
      </x:c>
      <x:c r="H35" s="16" t="n">
        <x:v>10000</x:v>
      </x:c>
      <x:c r="I35" s="46" t="b">
        <x:v>1</x:v>
      </x:c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 t="str">
        <x:v>dense_urban</x:v>
      </x:c>
      <x:c r="D36" s="15" t="n">
        <x:v>0.6000000000000001</x:v>
      </x:c>
      <x:c r="E36" s="4" t="n">
        <x:v>0.38400000000000006</x:v>
      </x:c>
      <x:c r="F36" s="16" t="n">
        <x:v>7793.749999999999</x:v>
      </x:c>
      <x:c r="G36" s="16" t="n">
        <x:v>5241.666666666667</x:v>
      </x:c>
      <x:c r="H36" s="16" t="n">
        <x:v>10000</x:v>
      </x:c>
      <x:c r="I36" s="46" t="b">
        <x:v>1</x:v>
      </x:c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 t="str">
        <x:v>dense_urban</x:v>
      </x:c>
      <x:c r="D37" s="15" t="n">
        <x:v>0.65</x:v>
      </x:c>
      <x:c r="E37" s="4" t="n">
        <x:v>0.41600000000000004</x:v>
      </x:c>
      <x:c r="F37" s="16" t="n">
        <x:v>7597.435897435898</x:v>
      </x:c>
      <x:c r="G37" s="16" t="n">
        <x:v>5241.666666666667</x:v>
      </x:c>
      <x:c r="H37" s="16" t="n">
        <x:v>10000</x:v>
      </x:c>
      <x:c r="I37" s="46" t="b">
        <x:v>1</x:v>
      </x:c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 t="str">
        <x:v>dense_urban</x:v>
      </x:c>
      <x:c r="D38" s="15" t="n">
        <x:v>0.7000000000000001</x:v>
      </x:c>
      <x:c r="E38" s="4" t="n">
        <x:v>0.44800000000000006</x:v>
      </x:c>
      <x:c r="F38" s="16" t="n">
        <x:v>7429.166666666667</x:v>
      </x:c>
      <x:c r="G38" s="16" t="n">
        <x:v>5241.666666666667</x:v>
      </x:c>
      <x:c r="H38" s="16" t="n">
        <x:v>10000</x:v>
      </x:c>
      <x:c r="I38" s="46" t="b">
        <x:v>1</x:v>
      </x:c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 t="str">
        <x:v>dense_urban</x:v>
      </x:c>
      <x:c r="D39" s="15" t="n">
        <x:v>0.75</x:v>
      </x:c>
      <x:c r="E39" s="4" t="n">
        <x:v>0.48</x:v>
      </x:c>
      <x:c r="F39" s="16" t="n">
        <x:v>7283.333333333333</x:v>
      </x:c>
      <x:c r="G39" s="16" t="n">
        <x:v>5241.666666666667</x:v>
      </x:c>
      <x:c r="H39" s="16" t="n">
        <x:v>10000</x:v>
      </x:c>
      <x:c r="I39" s="46" t="b">
        <x:v>1</x:v>
      </x:c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 t="str">
        <x:v>dense_urban</x:v>
      </x:c>
      <x:c r="D40" s="15" t="n">
        <x:v>0.8</x:v>
      </x:c>
      <x:c r="E40" s="4" t="n">
        <x:v>0.512</x:v>
      </x:c>
      <x:c r="F40" s="16" t="n">
        <x:v>7155.729166666667</x:v>
      </x:c>
      <x:c r="G40" s="16" t="n">
        <x:v>5241.666666666667</x:v>
      </x:c>
      <x:c r="H40" s="16" t="n">
        <x:v>10000</x:v>
      </x:c>
      <x:c r="I40" s="46" t="b">
        <x:v>1</x:v>
      </x:c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 t="str">
        <x:v>dense_urban</x:v>
      </x:c>
      <x:c r="D41" s="15" t="n">
        <x:v>0.8500000000000001</x:v>
      </x:c>
      <x:c r="E41" s="4" t="n">
        <x:v>0.544</x:v>
      </x:c>
      <x:c r="F41" s="16" t="n">
        <x:v>7043.137254901961</x:v>
      </x:c>
      <x:c r="G41" s="16" t="n">
        <x:v>5241.666666666667</x:v>
      </x:c>
      <x:c r="H41" s="16" t="n">
        <x:v>10000</x:v>
      </x:c>
      <x:c r="I41" s="46" t="b">
        <x:v>1</x:v>
      </x:c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 t="str">
        <x:v>dense_urban</x:v>
      </x:c>
      <x:c r="D42" s="15" t="n">
        <x:v>0.9</x:v>
      </x:c>
      <x:c r="E42" s="4" t="n">
        <x:v>0.5760000000000001</x:v>
      </x:c>
      <x:c r="F42" s="16" t="n">
        <x:v>6981.018518518518</x:v>
      </x:c>
      <x:c r="G42" s="16" t="n">
        <x:v>6808.333333333338</x:v>
      </x:c>
      <x:c r="H42" s="16" t="n">
        <x:v>10000</x:v>
      </x:c>
      <x:c r="I42" s="46" t="b">
        <x:v>1</x:v>
      </x:c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 t="str">
        <x:v>dense_urban</x:v>
      </x:c>
      <x:c r="D43" s="15" t="n">
        <x:v>0.9500000000000001</x:v>
      </x:c>
      <x:c r="E43" s="4" t="n">
        <x:v>0.6080000000000001</x:v>
      </x:c>
      <x:c r="F43" s="16" t="n">
        <x:v>7023.684210526316</x:v>
      </x:c>
      <x:c r="G43" s="16" t="n">
        <x:v>8775.000000000005</x:v>
      </x:c>
      <x:c r="H43" s="16" t="n">
        <x:v>10000</x:v>
      </x:c>
      <x:c r="I43" s="46" t="b">
        <x:v>1</x:v>
      </x:c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 t="str">
        <x:v>dense_urban</x:v>
      </x:c>
      <x:c r="D44" s="15" t="n">
        <x:v>1</x:v>
      </x:c>
      <x:c r="E44" s="4" t="n">
        <x:v>0.64</x:v>
      </x:c>
      <x:c r="F44" s="16" t="n">
        <x:v>7160.416666666667</x:v>
      </x:c>
      <x:c r="G44" s="16" t="n">
        <x:v>10741.666666666668</x:v>
      </x:c>
      <x:c r="H44" s="16" t="n">
        <x:v>10000</x:v>
      </x:c>
      <x:c r="I44" s="46" t="b">
        <x:v>1</x:v>
      </x:c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 t="str">
        <x:v>dense_urban</x:v>
      </x:c>
      <x:c r="D45" s="15" t="n">
        <x:v>1.05</x:v>
      </x:c>
      <x:c r="E45" s="4" t="n">
        <x:v>0.672</x:v>
      </x:c>
      <x:c r="F45" s="16" t="n">
        <x:v>7377.777777777779</x:v>
      </x:c>
      <x:c r="G45" s="16"/>
      <x:c r="H45" s="16" t="n">
        <x:v>10000</x:v>
      </x:c>
      <x:c r="I45" s="46" t="b">
        <x:v>0</x:v>
      </x:c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 t="str">
        <x:v>dense_urban</x:v>
      </x:c>
      <x:c r="D46" s="15" t="n">
        <x:v>1.1</x:v>
      </x:c>
      <x:c r="E46" s="4" t="n">
        <x:v>0.7040000000000001</x:v>
      </x:c>
      <x:c r="F46" s="16" t="n">
        <x:v>7664.772727272729</x:v>
      </x:c>
      <x:c r="G46" s="16"/>
      <x:c r="H46" s="16" t="n">
        <x:v>10000</x:v>
      </x:c>
      <x:c r="I46" s="46" t="b">
        <x:v>0</x:v>
      </x:c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 t="str">
        <x:v>dense_urban</x:v>
      </x:c>
      <x:c r="D47" s="15" t="n">
        <x:v>1.1500000000000001</x:v>
      </x:c>
      <x:c r="E47" s="4" t="n">
        <x:v>0.7360000000000001</x:v>
      </x:c>
      <x:c r="F47" s="16" t="n">
        <x:v>8012.318840579711</x:v>
      </x:c>
      <x:c r="G47" s="16"/>
      <x:c r="H47" s="16" t="n">
        <x:v>10000</x:v>
      </x:c>
      <x:c r="I47" s="46" t="b">
        <x:v>0</x:v>
      </x:c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 t="str">
        <x:v>dense_urban</x:v>
      </x:c>
      <x:c r="D48" s="15" t="n">
        <x:v>1.2000000000000002</x:v>
      </x:c>
      <x:c r="E48" s="4" t="n">
        <x:v>0.7680000000000001</x:v>
      </x:c>
      <x:c r="F48" s="16" t="n">
        <x:v>8412.847222222223</x:v>
      </x:c>
      <x:c r="G48" s="16"/>
      <x:c r="H48" s="16" t="n">
        <x:v>10000</x:v>
      </x:c>
      <x:c r="I48" s="46" t="b">
        <x:v>0</x:v>
      </x:c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 t="str">
        <x:v>suburban</x:v>
      </x:c>
      <x:c r="D49" s="15" t="n">
        <x:v>0</x:v>
      </x:c>
      <x:c r="E49" s="4" t="n">
        <x:v>0</x:v>
      </x:c>
      <x:c r="F49" s="16"/>
      <x:c r="G49" s="16" t="n">
        <x:v>6375</x:v>
      </x:c>
      <x:c r="H49" s="16" t="n">
        <x:v>11000</x:v>
      </x:c>
      <x:c r="I49" s="46" t="b">
        <x:v>1</x:v>
      </x:c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 t="str">
        <x:v>suburban</x:v>
      </x:c>
      <x:c r="D50" s="15" t="n">
        <x:v>0.05</x:v>
      </x:c>
      <x:c r="E50" s="4" t="n">
        <x:v>0.021500000000000002</x:v>
      </x:c>
      <x:c r="F50" s="16" t="n">
        <x:v>41956.395348837206</x:v>
      </x:c>
      <x:c r="G50" s="16" t="n">
        <x:v>6375</x:v>
      </x:c>
      <x:c r="H50" s="16" t="n">
        <x:v>11000</x:v>
      </x:c>
      <x:c r="I50" s="46" t="b">
        <x:v>1</x:v>
      </x:c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 t="str">
        <x:v>suburban</x:v>
      </x:c>
      <x:c r="D51" s="15" t="n">
        <x:v>0.1</x:v>
      </x:c>
      <x:c r="E51" s="4" t="n">
        <x:v>0.043000000000000003</x:v>
      </x:c>
      <x:c r="F51" s="16" t="n">
        <x:v>24165.697674418607</x:v>
      </x:c>
      <x:c r="G51" s="16" t="n">
        <x:v>6375</x:v>
      </x:c>
      <x:c r="H51" s="16" t="n">
        <x:v>11000</x:v>
      </x:c>
      <x:c r="I51" s="46" t="b">
        <x:v>1</x:v>
      </x:c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 t="str">
        <x:v>suburban</x:v>
      </x:c>
      <x:c r="D52" s="15" t="n">
        <x:v>0.15000000000000002</x:v>
      </x:c>
      <x:c r="E52" s="4" t="n">
        <x:v>0.0645</x:v>
      </x:c>
      <x:c r="F52" s="16" t="n">
        <x:v>18235.46511627907</x:v>
      </x:c>
      <x:c r="G52" s="16" t="n">
        <x:v>6375</x:v>
      </x:c>
      <x:c r="H52" s="16" t="n">
        <x:v>11000</x:v>
      </x:c>
      <x:c r="I52" s="46" t="b">
        <x:v>1</x:v>
      </x:c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 t="str">
        <x:v>suburban</x:v>
      </x:c>
      <x:c r="D53" s="15" t="n">
        <x:v>0.2</x:v>
      </x:c>
      <x:c r="E53" s="4" t="n">
        <x:v>0.08600000000000001</x:v>
      </x:c>
      <x:c r="F53" s="16" t="n">
        <x:v>15270.348837209302</x:v>
      </x:c>
      <x:c r="G53" s="16" t="n">
        <x:v>6375</x:v>
      </x:c>
      <x:c r="H53" s="16" t="n">
        <x:v>11000</x:v>
      </x:c>
      <x:c r="I53" s="46" t="b">
        <x:v>1</x:v>
      </x:c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 t="str">
        <x:v>suburban</x:v>
      </x:c>
      <x:c r="D54" s="15" t="n">
        <x:v>0.25</x:v>
      </x:c>
      <x:c r="E54" s="4" t="n">
        <x:v>0.1075</x:v>
      </x:c>
      <x:c r="F54" s="16" t="n">
        <x:v>13491.27906976744</x:v>
      </x:c>
      <x:c r="G54" s="16" t="n">
        <x:v>6375</x:v>
      </x:c>
      <x:c r="H54" s="16" t="n">
        <x:v>11000</x:v>
      </x:c>
      <x:c r="I54" s="46" t="b">
        <x:v>1</x:v>
      </x:c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 t="str">
        <x:v>suburban</x:v>
      </x:c>
      <x:c r="D55" s="15" t="n">
        <x:v>0.30000000000000004</x:v>
      </x:c>
      <x:c r="E55" s="4" t="n">
        <x:v>0.129</x:v>
      </x:c>
      <x:c r="F55" s="16" t="n">
        <x:v>12305.232558139534</x:v>
      </x:c>
      <x:c r="G55" s="16" t="n">
        <x:v>6375</x:v>
      </x:c>
      <x:c r="H55" s="16" t="n">
        <x:v>11000</x:v>
      </x:c>
      <x:c r="I55" s="46" t="b">
        <x:v>1</x:v>
      </x:c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 t="str">
        <x:v>suburban</x:v>
      </x:c>
      <x:c r="D56" s="15" t="n">
        <x:v>0.35000000000000003</x:v>
      </x:c>
      <x:c r="E56" s="4" t="n">
        <x:v>0.15050000000000002</x:v>
      </x:c>
      <x:c r="F56" s="16" t="n">
        <x:v>11458.056478405315</x:v>
      </x:c>
      <x:c r="G56" s="16" t="n">
        <x:v>6375</x:v>
      </x:c>
      <x:c r="H56" s="16" t="n">
        <x:v>11000</x:v>
      </x:c>
      <x:c r="I56" s="46" t="b">
        <x:v>1</x:v>
      </x:c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 t="str">
        <x:v>suburban</x:v>
      </x:c>
      <x:c r="D57" s="15" t="n">
        <x:v>0.4</x:v>
      </x:c>
      <x:c r="E57" s="4" t="n">
        <x:v>0.17200000000000001</x:v>
      </x:c>
      <x:c r="F57" s="16" t="n">
        <x:v>10822.67441860465</x:v>
      </x:c>
      <x:c r="G57" s="16" t="n">
        <x:v>6375</x:v>
      </x:c>
      <x:c r="H57" s="16" t="n">
        <x:v>11000</x:v>
      </x:c>
      <x:c r="I57" s="46" t="b">
        <x:v>1</x:v>
      </x:c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 t="str">
        <x:v>suburban</x:v>
      </x:c>
      <x:c r="D58" s="15" t="n">
        <x:v>0.45</x:v>
      </x:c>
      <x:c r="E58" s="4" t="n">
        <x:v>0.1935</x:v>
      </x:c>
      <x:c r="F58" s="16" t="n">
        <x:v>10328.488372093021</x:v>
      </x:c>
      <x:c r="G58" s="16" t="n">
        <x:v>6375</x:v>
      </x:c>
      <x:c r="H58" s="16" t="n">
        <x:v>11000</x:v>
      </x:c>
      <x:c r="I58" s="46" t="b">
        <x:v>1</x:v>
      </x:c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 t="str">
        <x:v>suburban</x:v>
      </x:c>
      <x:c r="D59" s="15" t="n">
        <x:v>0.5</x:v>
      </x:c>
      <x:c r="E59" s="4" t="n">
        <x:v>0.215</x:v>
      </x:c>
      <x:c r="F59" s="16" t="n">
        <x:v>9933.139534883721</x:v>
      </x:c>
      <x:c r="G59" s="16" t="n">
        <x:v>6375</x:v>
      </x:c>
      <x:c r="H59" s="16" t="n">
        <x:v>11000</x:v>
      </x:c>
      <x:c r="I59" s="46" t="b">
        <x:v>1</x:v>
      </x:c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 t="str">
        <x:v>suburban</x:v>
      </x:c>
      <x:c r="D60" s="15" t="n">
        <x:v>0.55</x:v>
      </x:c>
      <x:c r="E60" s="4" t="n">
        <x:v>0.23650000000000002</x:v>
      </x:c>
      <x:c r="F60" s="16" t="n">
        <x:v>9609.672304439746</x:v>
      </x:c>
      <x:c r="G60" s="16" t="n">
        <x:v>6375</x:v>
      </x:c>
      <x:c r="H60" s="16" t="n">
        <x:v>11000</x:v>
      </x:c>
      <x:c r="I60" s="46" t="b">
        <x:v>1</x:v>
      </x:c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 t="str">
        <x:v>suburban</x:v>
      </x:c>
      <x:c r="D61" s="15" t="n">
        <x:v>0.6000000000000001</x:v>
      </x:c>
      <x:c r="E61" s="4" t="n">
        <x:v>0.258</x:v>
      </x:c>
      <x:c r="F61" s="16" t="n">
        <x:v>9340.116279069767</x:v>
      </x:c>
      <x:c r="G61" s="16" t="n">
        <x:v>6375</x:v>
      </x:c>
      <x:c r="H61" s="16" t="n">
        <x:v>11000</x:v>
      </x:c>
      <x:c r="I61" s="46" t="b">
        <x:v>1</x:v>
      </x:c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 t="str">
        <x:v>suburban</x:v>
      </x:c>
      <x:c r="D62" s="15" t="n">
        <x:v>0.65</x:v>
      </x:c>
      <x:c r="E62" s="4" t="n">
        <x:v>0.2795</x:v>
      </x:c>
      <x:c r="F62" s="16" t="n">
        <x:v>9112.030411449015</x:v>
      </x:c>
      <x:c r="G62" s="16" t="n">
        <x:v>6375</x:v>
      </x:c>
      <x:c r="H62" s="16" t="n">
        <x:v>11000</x:v>
      </x:c>
      <x:c r="I62" s="46" t="b">
        <x:v>1</x:v>
      </x:c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 t="str">
        <x:v>suburban</x:v>
      </x:c>
      <x:c r="D63" s="15" t="n">
        <x:v>0.7000000000000001</x:v>
      </x:c>
      <x:c r="E63" s="4" t="n">
        <x:v>0.30100000000000005</x:v>
      </x:c>
      <x:c r="F63" s="16" t="n">
        <x:v>8916.528239202657</x:v>
      </x:c>
      <x:c r="G63" s="16" t="n">
        <x:v>6375</x:v>
      </x:c>
      <x:c r="H63" s="16" t="n">
        <x:v>11000</x:v>
      </x:c>
      <x:c r="I63" s="46" t="b">
        <x:v>1</x:v>
      </x:c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 t="str">
        <x:v>suburban</x:v>
      </x:c>
      <x:c r="D64" s="15" t="n">
        <x:v>0.75</x:v>
      </x:c>
      <x:c r="E64" s="4" t="n">
        <x:v>0.3225</x:v>
      </x:c>
      <x:c r="F64" s="16" t="n">
        <x:v>8747.093023255815</x:v>
      </x:c>
      <x:c r="G64" s="16" t="n">
        <x:v>6375</x:v>
      </x:c>
      <x:c r="H64" s="16" t="n">
        <x:v>11000</x:v>
      </x:c>
      <x:c r="I64" s="46" t="b">
        <x:v>1</x:v>
      </x:c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 t="str">
        <x:v>suburban</x:v>
      </x:c>
      <x:c r="D65" s="15" t="n">
        <x:v>0.8</x:v>
      </x:c>
      <x:c r="E65" s="4" t="n">
        <x:v>0.34400000000000003</x:v>
      </x:c>
      <x:c r="F65" s="16" t="n">
        <x:v>8598.837209302326</x:v>
      </x:c>
      <x:c r="G65" s="16" t="n">
        <x:v>6375</x:v>
      </x:c>
      <x:c r="H65" s="16" t="n">
        <x:v>11000</x:v>
      </x:c>
      <x:c r="I65" s="46" t="b">
        <x:v>1</x:v>
      </x:c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 t="str">
        <x:v>suburban</x:v>
      </x:c>
      <x:c r="D66" s="15" t="n">
        <x:v>0.8500000000000001</x:v>
      </x:c>
      <x:c r="E66" s="4" t="n">
        <x:v>0.36550000000000005</x:v>
      </x:c>
      <x:c r="F66" s="16" t="n">
        <x:v>8469.057797537622</x:v>
      </x:c>
      <x:c r="G66" s="16" t="n">
        <x:v>6512.5000000000055</x:v>
      </x:c>
      <x:c r="H66" s="16" t="n">
        <x:v>11000</x:v>
      </x:c>
      <x:c r="I66" s="46" t="b">
        <x:v>1</x:v>
      </x:c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 t="str">
        <x:v>suburban</x:v>
      </x:c>
      <x:c r="D67" s="15" t="n">
        <x:v>0.9</x:v>
      </x:c>
      <x:c r="E67" s="4" t="n">
        <x:v>0.387</x:v>
      </x:c>
      <x:c r="F67" s="16" t="n">
        <x:v>8416.957364341086</x:v>
      </x:c>
      <x:c r="G67" s="16" t="n">
        <x:v>8550.000000000002</x:v>
      </x:c>
      <x:c r="H67" s="16" t="n">
        <x:v>11000</x:v>
      </x:c>
      <x:c r="I67" s="46" t="b">
        <x:v>1</x:v>
      </x:c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 t="str">
        <x:v>suburban</x:v>
      </x:c>
      <x:c r="D68" s="15" t="n">
        <x:v>0.9500000000000001</x:v>
      </x:c>
      <x:c r="E68" s="4" t="n">
        <x:v>0.40850000000000003</x:v>
      </x:c>
      <x:c r="F68" s="16" t="n">
        <x:v>8477.578029375765</x:v>
      </x:c>
      <x:c r="G68" s="16" t="n">
        <x:v>10587.500000000005</x:v>
      </x:c>
      <x:c r="H68" s="16" t="n">
        <x:v>11000</x:v>
      </x:c>
      <x:c r="I68" s="46" t="b">
        <x:v>1</x:v>
      </x:c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 t="str">
        <x:v>suburban</x:v>
      </x:c>
      <x:c r="D69" s="15" t="n">
        <x:v>1</x:v>
      </x:c>
      <x:c r="E69" s="4" t="n">
        <x:v>0.43</x:v>
      </x:c>
      <x:c r="F69" s="16" t="n">
        <x:v>8634.011627906977</x:v>
      </x:c>
      <x:c r="G69" s="16" t="n">
        <x:v>12625</x:v>
      </x:c>
      <x:c r="H69" s="16" t="n">
        <x:v>11000</x:v>
      </x:c>
      <x:c r="I69" s="46" t="b">
        <x:v>1</x:v>
      </x:c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 t="str">
        <x:v>suburban</x:v>
      </x:c>
      <x:c r="D70" s="15" t="n">
        <x:v>1.05</x:v>
      </x:c>
      <x:c r="E70" s="4" t="n">
        <x:v>0.4515</x:v>
      </x:c>
      <x:c r="F70" s="16" t="n">
        <x:v>8872.570598006645</x:v>
      </x:c>
      <x:c r="G70" s="16"/>
      <x:c r="H70" s="16" t="n">
        <x:v>11000</x:v>
      </x:c>
      <x:c r="I70" s="46" t="b">
        <x:v>0</x:v>
      </x:c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 t="str">
        <x:v>suburban</x:v>
      </x:c>
      <x:c r="D71" s="15" t="n">
        <x:v>1.1</x:v>
      </x:c>
      <x:c r="E71" s="4" t="n">
        <x:v>0.47300000000000003</x:v>
      </x:c>
      <x:c r="F71" s="16" t="n">
        <x:v>9182.056025369979</x:v>
      </x:c>
      <x:c r="G71" s="16"/>
      <x:c r="H71" s="16" t="n">
        <x:v>11000</x:v>
      </x:c>
      <x:c r="I71" s="46" t="b">
        <x:v>0</x:v>
      </x:c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 t="str">
        <x:v>suburban</x:v>
      </x:c>
      <x:c r="D72" s="15" t="n">
        <x:v>1.1500000000000001</x:v>
      </x:c>
      <x:c r="E72" s="4" t="n">
        <x:v>0.49450000000000005</x:v>
      </x:c>
      <x:c r="F72" s="16" t="n">
        <x:v>9553.216632962589</x:v>
      </x:c>
      <x:c r="G72" s="16"/>
      <x:c r="H72" s="16" t="n">
        <x:v>11000</x:v>
      </x:c>
      <x:c r="I72" s="46" t="b">
        <x:v>0</x:v>
      </x:c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 t="str">
        <x:v>suburban</x:v>
      </x:c>
      <x:c r="D73" s="15" t="n">
        <x:v>1.2000000000000002</x:v>
      </x:c>
      <x:c r="E73" s="4" t="n">
        <x:v>0.516</x:v>
      </x:c>
      <x:c r="F73" s="16" t="n">
        <x:v>9978.343023255813</x:v>
      </x:c>
      <x:c r="G73" s="16"/>
      <x:c r="H73" s="16" t="n">
        <x:v>11000</x:v>
      </x:c>
      <x:c r="I73" s="46" t="b">
        <x:v>0</x:v>
      </x:c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 t="str">
        <x:v>regional</x:v>
      </x:c>
      <x:c r="D74" s="15" t="n">
        <x:v>0</x:v>
      </x:c>
      <x:c r="E74" s="4" t="n">
        <x:v>0</x:v>
      </x:c>
      <x:c r="F74" s="16"/>
      <x:c r="G74" s="16" t="n">
        <x:v>9562.5</x:v>
      </x:c>
      <x:c r="H74" s="16" t="n">
        <x:v>12000</x:v>
      </x:c>
      <x:c r="I74" s="46" t="b">
        <x:v>1</x:v>
      </x:c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 t="str">
        <x:v>regional</x:v>
      </x:c>
      <x:c r="D75" s="15" t="n">
        <x:v>0.05</x:v>
      </x:c>
      <x:c r="E75" s="4" t="n">
        <x:v>0.006500000000000001</x:v>
      </x:c>
      <x:c r="F75" s="16" t="n">
        <x:v>48793.269230769234</x:v>
      </x:c>
      <x:c r="G75" s="16" t="n">
        <x:v>9562.5</x:v>
      </x:c>
      <x:c r="H75" s="16" t="n">
        <x:v>12000</x:v>
      </x:c>
      <x:c r="I75" s="46" t="b">
        <x:v>1</x:v>
      </x:c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 t="str">
        <x:v>regional</x:v>
      </x:c>
      <x:c r="D76" s="15" t="n">
        <x:v>0.1</x:v>
      </x:c>
      <x:c r="E76" s="4" t="n">
        <x:v>0.013000000000000001</x:v>
      </x:c>
      <x:c r="F76" s="16" t="n">
        <x:v>29177.884615384617</x:v>
      </x:c>
      <x:c r="G76" s="16" t="n">
        <x:v>9562.5</x:v>
      </x:c>
      <x:c r="H76" s="16" t="n">
        <x:v>12000</x:v>
      </x:c>
      <x:c r="I76" s="46" t="b">
        <x:v>1</x:v>
      </x:c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 t="str">
        <x:v>regional</x:v>
      </x:c>
      <x:c r="D77" s="15" t="n">
        <x:v>0.15000000000000002</x:v>
      </x:c>
      <x:c r="E77" s="4" t="n">
        <x:v>0.019500000000000003</x:v>
      </x:c>
      <x:c r="F77" s="16" t="n">
        <x:v>22639.423076923074</x:v>
      </x:c>
      <x:c r="G77" s="16" t="n">
        <x:v>9562.5</x:v>
      </x:c>
      <x:c r="H77" s="16" t="n">
        <x:v>12000</x:v>
      </x:c>
      <x:c r="I77" s="46" t="b">
        <x:v>1</x:v>
      </x:c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 t="str">
        <x:v>regional</x:v>
      </x:c>
      <x:c r="D78" s="15" t="n">
        <x:v>0.2</x:v>
      </x:c>
      <x:c r="E78" s="4" t="n">
        <x:v>0.026000000000000002</x:v>
      </x:c>
      <x:c r="F78" s="16" t="n">
        <x:v>19370.192307692305</x:v>
      </x:c>
      <x:c r="G78" s="16" t="n">
        <x:v>9562.5</x:v>
      </x:c>
      <x:c r="H78" s="16" t="n">
        <x:v>12000</x:v>
      </x:c>
      <x:c r="I78" s="46" t="b">
        <x:v>1</x:v>
      </x:c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 t="str">
        <x:v>regional</x:v>
      </x:c>
      <x:c r="D79" s="15" t="n">
        <x:v>0.25</x:v>
      </x:c>
      <x:c r="E79" s="4" t="n">
        <x:v>0.0325</x:v>
      </x:c>
      <x:c r="F79" s="16" t="n">
        <x:v>17408.653846153848</x:v>
      </x:c>
      <x:c r="G79" s="16" t="n">
        <x:v>9562.5</x:v>
      </x:c>
      <x:c r="H79" s="16" t="n">
        <x:v>12000</x:v>
      </x:c>
      <x:c r="I79" s="46" t="b">
        <x:v>1</x:v>
      </x:c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 t="str">
        <x:v>regional</x:v>
      </x:c>
      <x:c r="D80" s="15" t="n">
        <x:v>0.30000000000000004</x:v>
      </x:c>
      <x:c r="E80" s="4" t="n">
        <x:v>0.03900000000000001</x:v>
      </x:c>
      <x:c r="F80" s="16" t="n">
        <x:v>16100.961538461537</x:v>
      </x:c>
      <x:c r="G80" s="16" t="n">
        <x:v>9562.5</x:v>
      </x:c>
      <x:c r="H80" s="16" t="n">
        <x:v>12000</x:v>
      </x:c>
      <x:c r="I80" s="46" t="b">
        <x:v>1</x:v>
      </x:c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 t="str">
        <x:v>regional</x:v>
      </x:c>
      <x:c r="D81" s="15" t="n">
        <x:v>0.35000000000000003</x:v>
      </x:c>
      <x:c r="E81" s="4" t="n">
        <x:v>0.045500000000000006</x:v>
      </x:c>
      <x:c r="F81" s="16" t="n">
        <x:v>15166.895604395604</x:v>
      </x:c>
      <x:c r="G81" s="16" t="n">
        <x:v>9562.5</x:v>
      </x:c>
      <x:c r="H81" s="16" t="n">
        <x:v>12000</x:v>
      </x:c>
      <x:c r="I81" s="46" t="b">
        <x:v>1</x:v>
      </x:c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 t="str">
        <x:v>regional</x:v>
      </x:c>
      <x:c r="D82" s="15" t="n">
        <x:v>0.4</x:v>
      </x:c>
      <x:c r="E82" s="4" t="n">
        <x:v>0.052000000000000005</x:v>
      </x:c>
      <x:c r="F82" s="16" t="n">
        <x:v>14466.346153846154</x:v>
      </x:c>
      <x:c r="G82" s="16" t="n">
        <x:v>9562.5</x:v>
      </x:c>
      <x:c r="H82" s="16" t="n">
        <x:v>12000</x:v>
      </x:c>
      <x:c r="I82" s="46" t="b">
        <x:v>1</x:v>
      </x:c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 t="str">
        <x:v>regional</x:v>
      </x:c>
      <x:c r="D83" s="15" t="n">
        <x:v>0.45</x:v>
      </x:c>
      <x:c r="E83" s="4" t="n">
        <x:v>0.0585</x:v>
      </x:c>
      <x:c r="F83" s="16" t="n">
        <x:v>13921.474358974358</x:v>
      </x:c>
      <x:c r="G83" s="16" t="n">
        <x:v>9562.5</x:v>
      </x:c>
      <x:c r="H83" s="16" t="n">
        <x:v>12000</x:v>
      </x:c>
      <x:c r="I83" s="46" t="b">
        <x:v>1</x:v>
      </x:c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 t="str">
        <x:v>regional</x:v>
      </x:c>
      <x:c r="D84" s="15" t="n">
        <x:v>0.5</x:v>
      </x:c>
      <x:c r="E84" s="4" t="n">
        <x:v>0.065</x:v>
      </x:c>
      <x:c r="F84" s="16" t="n">
        <x:v>13485.576923076924</x:v>
      </x:c>
      <x:c r="G84" s="16" t="n">
        <x:v>9562.5</x:v>
      </x:c>
      <x:c r="H84" s="16" t="n">
        <x:v>12000</x:v>
      </x:c>
      <x:c r="I84" s="46" t="b">
        <x:v>1</x:v>
      </x:c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 t="str">
        <x:v>regional</x:v>
      </x:c>
      <x:c r="D85" s="15" t="n">
        <x:v>0.55</x:v>
      </x:c>
      <x:c r="E85" s="4" t="n">
        <x:v>0.07150000000000001</x:v>
      </x:c>
      <x:c r="F85" s="16" t="n">
        <x:v>13128.933566433567</x:v>
      </x:c>
      <x:c r="G85" s="16" t="n">
        <x:v>9562.5</x:v>
      </x:c>
      <x:c r="H85" s="16" t="n">
        <x:v>12000</x:v>
      </x:c>
      <x:c r="I85" s="46" t="b">
        <x:v>1</x:v>
      </x:c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 t="str">
        <x:v>regional</x:v>
      </x:c>
      <x:c r="D86" s="15" t="n">
        <x:v>0.6000000000000001</x:v>
      </x:c>
      <x:c r="E86" s="4" t="n">
        <x:v>0.07800000000000001</x:v>
      </x:c>
      <x:c r="F86" s="16" t="n">
        <x:v>12831.73076923077</x:v>
      </x:c>
      <x:c r="G86" s="16" t="n">
        <x:v>9562.5</x:v>
      </x:c>
      <x:c r="H86" s="16" t="n">
        <x:v>12000</x:v>
      </x:c>
      <x:c r="I86" s="46" t="b">
        <x:v>1</x:v>
      </x:c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 t="str">
        <x:v>regional</x:v>
      </x:c>
      <x:c r="D87" s="15" t="n">
        <x:v>0.65</x:v>
      </x:c>
      <x:c r="E87" s="4" t="n">
        <x:v>0.0845</x:v>
      </x:c>
      <x:c r="F87" s="16" t="n">
        <x:v>12583.104395604394</x:v>
      </x:c>
      <x:c r="G87" s="16" t="n">
        <x:v>9669.642857142857</x:v>
      </x:c>
      <x:c r="H87" s="16" t="n">
        <x:v>12000</x:v>
      </x:c>
      <x:c r="I87" s="46" t="b">
        <x:v>1</x:v>
      </x:c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 t="str">
        <x:v>regional</x:v>
      </x:c>
      <x:c r="D88" s="15" t="n">
        <x:v>0.7000000000000001</x:v>
      </x:c>
      <x:c r="E88" s="4" t="n">
        <x:v>0.09100000000000001</x:v>
      </x:c>
      <x:c r="F88" s="16" t="n">
        <x:v>12380.527210884353</x:v>
      </x:c>
      <x:c r="G88" s="16" t="n">
        <x:v>9824.404761904761</x:v>
      </x:c>
      <x:c r="H88" s="16" t="n">
        <x:v>12000</x:v>
      </x:c>
      <x:c r="I88" s="46" t="b">
        <x:v>1</x:v>
      </x:c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 t="str">
        <x:v>regional</x:v>
      </x:c>
      <x:c r="D89" s="15" t="n">
        <x:v>0.75</x:v>
      </x:c>
      <x:c r="E89" s="4" t="n">
        <x:v>0.0975</x:v>
      </x:c>
      <x:c r="F89" s="16" t="n">
        <x:v>12215.27777777778</x:v>
      </x:c>
      <x:c r="G89" s="16" t="n">
        <x:v>9979.166666666666</x:v>
      </x:c>
      <x:c r="H89" s="16" t="n">
        <x:v>12000</x:v>
      </x:c>
      <x:c r="I89" s="46" t="b">
        <x:v>1</x:v>
      </x:c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 t="str">
        <x:v>regional</x:v>
      </x:c>
      <x:c r="D90" s="15" t="n">
        <x:v>0.8</x:v>
      </x:c>
      <x:c r="E90" s="4" t="n">
        <x:v>0.10400000000000001</x:v>
      </x:c>
      <x:c r="F90" s="16" t="n">
        <x:v>12080.357142857145</x:v>
      </x:c>
      <x:c r="G90" s="16" t="n">
        <x:v>10133.928571428572</x:v>
      </x:c>
      <x:c r="H90" s="16" t="n">
        <x:v>12000</x:v>
      </x:c>
      <x:c r="I90" s="46" t="b">
        <x:v>1</x:v>
      </x:c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 t="str">
        <x:v>regional</x:v>
      </x:c>
      <x:c r="D91" s="15" t="n">
        <x:v>0.8500000000000001</x:v>
      </x:c>
      <x:c r="E91" s="4" t="n">
        <x:v>0.11050000000000001</x:v>
      </x:c>
      <x:c r="F91" s="16" t="n">
        <x:v>11970.413165266107</x:v>
      </x:c>
      <x:c r="G91" s="16" t="n">
        <x:v>10288.690476190483</x:v>
      </x:c>
      <x:c r="H91" s="16" t="n">
        <x:v>12000</x:v>
      </x:c>
      <x:c r="I91" s="46" t="b">
        <x:v>1</x:v>
      </x:c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 t="str">
        <x:v>regional</x:v>
      </x:c>
      <x:c r="D92" s="15" t="n">
        <x:v>0.9</x:v>
      </x:c>
      <x:c r="E92" s="4" t="n">
        <x:v>0.117</x:v>
      </x:c>
      <x:c r="F92" s="16" t="n">
        <x:v>11941.468253968253</x:v>
      </x:c>
      <x:c r="G92" s="16" t="n">
        <x:v>12610.11904761905</x:v>
      </x:c>
      <x:c r="H92" s="16" t="n">
        <x:v>12000</x:v>
      </x:c>
      <x:c r="I92" s="46" t="b">
        <x:v>1</x:v>
      </x:c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 t="str">
        <x:v>regional</x:v>
      </x:c>
      <x:c r="D93" s="15" t="n">
        <x:v>0.9500000000000001</x:v>
      </x:c>
      <x:c r="E93" s="4" t="n">
        <x:v>0.12350000000000001</x:v>
      </x:c>
      <x:c r="F93" s="16" t="n">
        <x:v>12037.750626566418</x:v>
      </x:c>
      <x:c r="G93" s="16" t="n">
        <x:v>14931.547619047622</x:v>
      </x:c>
      <x:c r="H93" s="16" t="n">
        <x:v>12000</x:v>
      </x:c>
      <x:c r="I93" s="46" t="b">
        <x:v>1</x:v>
      </x:c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 t="str">
        <x:v>regional</x:v>
      </x:c>
      <x:c r="D94" s="15" t="n">
        <x:v>1</x:v>
      </x:c>
      <x:c r="E94" s="4" t="n">
        <x:v>0.13</x:v>
      </x:c>
      <x:c r="F94" s="16" t="n">
        <x:v>12240.47619047619</x:v>
      </x:c>
      <x:c r="G94" s="16" t="n">
        <x:v>17252.97619047619</x:v>
      </x:c>
      <x:c r="H94" s="16" t="n">
        <x:v>12000</x:v>
      </x:c>
      <x:c r="I94" s="46" t="b">
        <x:v>1</x:v>
      </x:c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 t="str">
        <x:v>regional</x:v>
      </x:c>
      <x:c r="D95" s="15" t="n">
        <x:v>1.05</x:v>
      </x:c>
      <x:c r="E95" s="4" t="n">
        <x:v>0.1365</x:v>
      </x:c>
      <x:c r="F95" s="16" t="n">
        <x:v>12534.438775510203</x:v>
      </x:c>
      <x:c r="G95" s="16"/>
      <x:c r="H95" s="16" t="n">
        <x:v>12000</x:v>
      </x:c>
      <x:c r="I95" s="46" t="b">
        <x:v>0</x:v>
      </x:c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 t="str">
        <x:v>regional</x:v>
      </x:c>
      <x:c r="D96" s="15" t="n">
        <x:v>1.1</x:v>
      </x:c>
      <x:c r="E96" s="4" t="n">
        <x:v>0.14300000000000002</x:v>
      </x:c>
      <x:c r="F96" s="16" t="n">
        <x:v>12907.19696969697</x:v>
      </x:c>
      <x:c r="G96" s="16"/>
      <x:c r="H96" s="16" t="n">
        <x:v>12000</x:v>
      </x:c>
      <x:c r="I96" s="46" t="b">
        <x:v>0</x:v>
      </x:c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 t="str">
        <x:v>regional</x:v>
      </x:c>
      <x:c r="D97" s="15" t="n">
        <x:v>1.1500000000000001</x:v>
      </x:c>
      <x:c r="E97" s="4" t="n">
        <x:v>0.14950000000000002</x:v>
      </x:c>
      <x:c r="F97" s="16" t="n">
        <x:v>13348.47308488613</x:v>
      </x:c>
      <x:c r="G97" s="16"/>
      <x:c r="H97" s="16" t="n">
        <x:v>12000</x:v>
      </x:c>
      <x:c r="I97" s="46" t="b">
        <x:v>0</x:v>
      </x:c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 t="str">
        <x:v>regional</x:v>
      </x:c>
      <x:c r="D98" s="15" t="n">
        <x:v>1.2000000000000002</x:v>
      </x:c>
      <x:c r="E98" s="4" t="n">
        <x:v>0.15600000000000003</x:v>
      </x:c>
      <x:c r="F98" s="16" t="n">
        <x:v>13849.702380952382</x:v>
      </x:c>
      <x:c r="G98" s="16"/>
      <x:c r="H98" s="16" t="n">
        <x:v>12000</x:v>
      </x:c>
      <x:c r="I98" s="46" t="b">
        <x:v>0</x:v>
      </x:c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 t="str">
        <x:v>difficult</x:v>
      </x:c>
      <x:c r="D99" s="15" t="n">
        <x:v>0</x:v>
      </x:c>
      <x:c r="E99" s="4" t="n">
        <x:v>0</x:v>
      </x:c>
      <x:c r="F99" s="16"/>
      <x:c r="G99" s="16" t="n">
        <x:v>13500</x:v>
      </x:c>
      <x:c r="H99" s="16" t="n">
        <x:v>14600</x:v>
      </x:c>
      <x:c r="I99" s="46" t="b">
        <x:v>1</x:v>
      </x:c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 t="str">
        <x:v>difficult</x:v>
      </x:c>
      <x:c r="D100" s="15" t="n">
        <x:v>0.05</x:v>
      </x:c>
      <x:c r="E100" s="4" t="n">
        <x:v>0.001</x:v>
      </x:c>
      <x:c r="F100" s="16" t="n">
        <x:v>13535</x:v>
      </x:c>
      <x:c r="G100" s="16" t="n">
        <x:v>13570</x:v>
      </x:c>
      <x:c r="H100" s="16" t="n">
        <x:v>14600</x:v>
      </x:c>
      <x:c r="I100" s="46" t="b">
        <x:v>1</x:v>
      </x:c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 t="str">
        <x:v>difficult</x:v>
      </x:c>
      <x:c r="D101" s="15" t="n">
        <x:v>0.1</x:v>
      </x:c>
      <x:c r="E101" s="4" t="n">
        <x:v>0.002</x:v>
      </x:c>
      <x:c r="F101" s="16" t="n">
        <x:v>13570</x:v>
      </x:c>
      <x:c r="G101" s="16" t="n">
        <x:v>13640</x:v>
      </x:c>
      <x:c r="H101" s="16" t="n">
        <x:v>14600</x:v>
      </x:c>
      <x:c r="I101" s="46" t="b">
        <x:v>1</x:v>
      </x:c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 t="str">
        <x:v>difficult</x:v>
      </x:c>
      <x:c r="D102" s="15" t="n">
        <x:v>0.15000000000000002</x:v>
      </x:c>
      <x:c r="E102" s="4" t="n">
        <x:v>0.0030000000000000005</x:v>
      </x:c>
      <x:c r="F102" s="16" t="n">
        <x:v>13605.000000000002</x:v>
      </x:c>
      <x:c r="G102" s="16" t="n">
        <x:v>13710</x:v>
      </x:c>
      <x:c r="H102" s="16" t="n">
        <x:v>14600</x:v>
      </x:c>
      <x:c r="I102" s="46" t="b">
        <x:v>1</x:v>
      </x:c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 t="str">
        <x:v>difficult</x:v>
      </x:c>
      <x:c r="D103" s="15" t="n">
        <x:v>0.2</x:v>
      </x:c>
      <x:c r="E103" s="4" t="n">
        <x:v>0.004</x:v>
      </x:c>
      <x:c r="F103" s="16" t="n">
        <x:v>13639.999999999998</x:v>
      </x:c>
      <x:c r="G103" s="16" t="n">
        <x:v>13780</x:v>
      </x:c>
      <x:c r="H103" s="16" t="n">
        <x:v>14600</x:v>
      </x:c>
      <x:c r="I103" s="46" t="b">
        <x:v>1</x:v>
      </x:c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 t="str">
        <x:v>difficult</x:v>
      </x:c>
      <x:c r="D104" s="15" t="n">
        <x:v>0.25</x:v>
      </x:c>
      <x:c r="E104" s="4" t="n">
        <x:v>0.005</x:v>
      </x:c>
      <x:c r="F104" s="16" t="n">
        <x:v>13675</x:v>
      </x:c>
      <x:c r="G104" s="16" t="n">
        <x:v>13850</x:v>
      </x:c>
      <x:c r="H104" s="16" t="n">
        <x:v>14600</x:v>
      </x:c>
      <x:c r="I104" s="46" t="b">
        <x:v>1</x:v>
      </x:c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 t="str">
        <x:v>difficult</x:v>
      </x:c>
      <x:c r="D105" s="15" t="n">
        <x:v>0.30000000000000004</x:v>
      </x:c>
      <x:c r="E105" s="4" t="n">
        <x:v>0.006000000000000001</x:v>
      </x:c>
      <x:c r="F105" s="16" t="n">
        <x:v>13710</x:v>
      </x:c>
      <x:c r="G105" s="16" t="n">
        <x:v>13920</x:v>
      </x:c>
      <x:c r="H105" s="16" t="n">
        <x:v>14600</x:v>
      </x:c>
      <x:c r="I105" s="46" t="b">
        <x:v>1</x:v>
      </x:c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 t="str">
        <x:v>difficult</x:v>
      </x:c>
      <x:c r="D106" s="15" t="n">
        <x:v>0.35000000000000003</x:v>
      </x:c>
      <x:c r="E106" s="4" t="n">
        <x:v>0.007000000000000001</x:v>
      </x:c>
      <x:c r="F106" s="16" t="n">
        <x:v>13745</x:v>
      </x:c>
      <x:c r="G106" s="16" t="n">
        <x:v>13990</x:v>
      </x:c>
      <x:c r="H106" s="16" t="n">
        <x:v>14600</x:v>
      </x:c>
      <x:c r="I106" s="46" t="b">
        <x:v>1</x:v>
      </x:c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 t="str">
        <x:v>difficult</x:v>
      </x:c>
      <x:c r="D107" s="15" t="n">
        <x:v>0.4</x:v>
      </x:c>
      <x:c r="E107" s="4" t="n">
        <x:v>0.008</x:v>
      </x:c>
      <x:c r="F107" s="16" t="n">
        <x:v>13780.000000000002</x:v>
      </x:c>
      <x:c r="G107" s="16" t="n">
        <x:v>14060</x:v>
      </x:c>
      <x:c r="H107" s="16" t="n">
        <x:v>14600</x:v>
      </x:c>
      <x:c r="I107" s="46" t="b">
        <x:v>1</x:v>
      </x:c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 t="str">
        <x:v>difficult</x:v>
      </x:c>
      <x:c r="D108" s="15" t="n">
        <x:v>0.45</x:v>
      </x:c>
      <x:c r="E108" s="4" t="n">
        <x:v>0.009000000000000001</x:v>
      </x:c>
      <x:c r="F108" s="16" t="n">
        <x:v>13815</x:v>
      </x:c>
      <x:c r="G108" s="16" t="n">
        <x:v>14130</x:v>
      </x:c>
      <x:c r="H108" s="16" t="n">
        <x:v>14600</x:v>
      </x:c>
      <x:c r="I108" s="46" t="b">
        <x:v>1</x:v>
      </x:c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 t="str">
        <x:v>difficult</x:v>
      </x:c>
      <x:c r="D109" s="15" t="n">
        <x:v>0.5</x:v>
      </x:c>
      <x:c r="E109" s="4" t="n">
        <x:v>0.01</x:v>
      </x:c>
      <x:c r="F109" s="16" t="n">
        <x:v>13850.000000000002</x:v>
      </x:c>
      <x:c r="G109" s="16" t="n">
        <x:v>14200</x:v>
      </x:c>
      <x:c r="H109" s="16" t="n">
        <x:v>14600</x:v>
      </x:c>
      <x:c r="I109" s="46" t="b">
        <x:v>1</x:v>
      </x:c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 t="str">
        <x:v>difficult</x:v>
      </x:c>
      <x:c r="D110" s="15" t="n">
        <x:v>0.55</x:v>
      </x:c>
      <x:c r="E110" s="4" t="n">
        <x:v>0.011000000000000001</x:v>
      </x:c>
      <x:c r="F110" s="16" t="n">
        <x:v>13885</x:v>
      </x:c>
      <x:c r="G110" s="16" t="n">
        <x:v>14270</x:v>
      </x:c>
      <x:c r="H110" s="16" t="n">
        <x:v>14600</x:v>
      </x:c>
      <x:c r="I110" s="46" t="b">
        <x:v>1</x:v>
      </x:c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 t="str">
        <x:v>difficult</x:v>
      </x:c>
      <x:c r="D111" s="15" t="n">
        <x:v>0.6000000000000001</x:v>
      </x:c>
      <x:c r="E111" s="4" t="n">
        <x:v>0.012000000000000002</x:v>
      </x:c>
      <x:c r="F111" s="16" t="n">
        <x:v>13920</x:v>
      </x:c>
      <x:c r="G111" s="16" t="n">
        <x:v>14340</x:v>
      </x:c>
      <x:c r="H111" s="16" t="n">
        <x:v>14600</x:v>
      </x:c>
      <x:c r="I111" s="46" t="b">
        <x:v>1</x:v>
      </x:c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 t="str">
        <x:v>difficult</x:v>
      </x:c>
      <x:c r="D112" s="15" t="n">
        <x:v>0.65</x:v>
      </x:c>
      <x:c r="E112" s="4" t="n">
        <x:v>0.013000000000000001</x:v>
      </x:c>
      <x:c r="F112" s="16" t="n">
        <x:v>13955</x:v>
      </x:c>
      <x:c r="G112" s="16" t="n">
        <x:v>14410</x:v>
      </x:c>
      <x:c r="H112" s="16" t="n">
        <x:v>14600</x:v>
      </x:c>
      <x:c r="I112" s="46" t="b">
        <x:v>1</x:v>
      </x:c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 t="str">
        <x:v>difficult</x:v>
      </x:c>
      <x:c r="D113" s="15" t="n">
        <x:v>0.7000000000000001</x:v>
      </x:c>
      <x:c r="E113" s="4" t="n">
        <x:v>0.014000000000000002</x:v>
      </x:c>
      <x:c r="F113" s="16" t="n">
        <x:v>13990</x:v>
      </x:c>
      <x:c r="G113" s="16" t="n">
        <x:v>14480</x:v>
      </x:c>
      <x:c r="H113" s="16" t="n">
        <x:v>14600</x:v>
      </x:c>
      <x:c r="I113" s="46" t="b">
        <x:v>1</x:v>
      </x:c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 t="str">
        <x:v>difficult</x:v>
      </x:c>
      <x:c r="D114" s="15" t="n">
        <x:v>0.75</x:v>
      </x:c>
      <x:c r="E114" s="4" t="n">
        <x:v>0.015</x:v>
      </x:c>
      <x:c r="F114" s="16" t="n">
        <x:v>14025</x:v>
      </x:c>
      <x:c r="G114" s="16" t="n">
        <x:v>14550</x:v>
      </x:c>
      <x:c r="H114" s="16" t="n">
        <x:v>14600</x:v>
      </x:c>
      <x:c r="I114" s="46" t="b">
        <x:v>1</x:v>
      </x:c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 t="str">
        <x:v>difficult</x:v>
      </x:c>
      <x:c r="D115" s="15" t="n">
        <x:v>0.8</x:v>
      </x:c>
      <x:c r="E115" s="4" t="n">
        <x:v>0.016</x:v>
      </x:c>
      <x:c r="F115" s="16" t="n">
        <x:v>14059.999999999998</x:v>
      </x:c>
      <x:c r="G115" s="16" t="n">
        <x:v>14620</x:v>
      </x:c>
      <x:c r="H115" s="16" t="n">
        <x:v>14600</x:v>
      </x:c>
      <x:c r="I115" s="46" t="b">
        <x:v>1</x:v>
      </x:c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 t="str">
        <x:v>difficult</x:v>
      </x:c>
      <x:c r="D116" s="15" t="n">
        <x:v>0.8500000000000001</x:v>
      </x:c>
      <x:c r="E116" s="4" t="n">
        <x:v>0.017</x:v>
      </x:c>
      <x:c r="F116" s="16" t="n">
        <x:v>14095.000000000002</x:v>
      </x:c>
      <x:c r="G116" s="16" t="n">
        <x:v>14690</x:v>
      </x:c>
      <x:c r="H116" s="16" t="n">
        <x:v>14600</x:v>
      </x:c>
      <x:c r="I116" s="46" t="b">
        <x:v>1</x:v>
      </x:c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 t="str">
        <x:v>difficult</x:v>
      </x:c>
      <x:c r="D117" s="15" t="n">
        <x:v>0.9</x:v>
      </x:c>
      <x:c r="E117" s="4" t="n">
        <x:v>0.018000000000000002</x:v>
      </x:c>
      <x:c r="F117" s="16" t="n">
        <x:v>14204.074074074073</x:v>
      </x:c>
      <x:c r="G117" s="16" t="n">
        <x:v>17426.666666666668</x:v>
      </x:c>
      <x:c r="H117" s="16" t="n">
        <x:v>14600</x:v>
      </x:c>
      <x:c r="I117" s="46" t="b">
        <x:v>1</x:v>
      </x:c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 t="str">
        <x:v>difficult</x:v>
      </x:c>
      <x:c r="D118" s="15" t="n">
        <x:v>0.9500000000000001</x:v>
      </x:c>
      <x:c r="E118" s="4" t="n">
        <x:v>0.019000000000000003</x:v>
      </x:c>
      <x:c r="F118" s="16" t="n">
        <x:v>14445.701754385967</x:v>
      </x:c>
      <x:c r="G118" s="16" t="n">
        <x:v>20163.333333333336</x:v>
      </x:c>
      <x:c r="H118" s="16" t="n">
        <x:v>14600</x:v>
      </x:c>
      <x:c r="I118" s="46" t="b">
        <x:v>1</x:v>
      </x:c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 t="str">
        <x:v>difficult</x:v>
      </x:c>
      <x:c r="D119" s="15" t="n">
        <x:v>1</x:v>
      </x:c>
      <x:c r="E119" s="4" t="n">
        <x:v>0.02</x:v>
      </x:c>
      <x:c r="F119" s="16" t="n">
        <x:v>14800.000000000002</x:v>
      </x:c>
      <x:c r="G119" s="16" t="n">
        <x:v>22899.999999999996</x:v>
      </x:c>
      <x:c r="H119" s="16" t="n">
        <x:v>14600</x:v>
      </x:c>
      <x:c r="I119" s="46" t="b">
        <x:v>1</x:v>
      </x:c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 t="str">
        <x:v>difficult</x:v>
      </x:c>
      <x:c r="D120" s="15" t="n">
        <x:v>1.05</x:v>
      </x:c>
      <x:c r="E120" s="4" t="n">
        <x:v>0.021</x:v>
      </x:c>
      <x:c r="F120" s="16" t="n">
        <x:v>15250.873015873012</x:v>
      </x:c>
      <x:c r="G120" s="16"/>
      <x:c r="H120" s="16" t="n">
        <x:v>14600</x:v>
      </x:c>
      <x:c r="I120" s="46" t="b">
        <x:v>0</x:v>
      </x:c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 t="str">
        <x:v>difficult</x:v>
      </x:c>
      <x:c r="D121" s="15" t="n">
        <x:v>1.1</x:v>
      </x:c>
      <x:c r="E121" s="4" t="n">
        <x:v>0.022000000000000002</x:v>
      </x:c>
      <x:c r="F121" s="16" t="n">
        <x:v>15785.151515151516</x:v>
      </x:c>
      <x:c r="G121" s="16"/>
      <x:c r="H121" s="16" t="n">
        <x:v>14600</x:v>
      </x:c>
      <x:c r="I121" s="46" t="b">
        <x:v>0</x:v>
      </x:c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 t="str">
        <x:v>difficult</x:v>
      </x:c>
      <x:c r="D122" s="15" t="n">
        <x:v>1.1500000000000001</x:v>
      </x:c>
      <x:c r="E122" s="4" t="n">
        <x:v>0.023000000000000003</x:v>
      </x:c>
      <x:c r="F122" s="16" t="n">
        <x:v>16391.956521739132</x:v>
      </x:c>
      <x:c r="G122" s="16"/>
      <x:c r="H122" s="16" t="n">
        <x:v>14600</x:v>
      </x:c>
      <x:c r="I122" s="46" t="b">
        <x:v>0</x:v>
      </x:c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 t="str">
        <x:v>difficult</x:v>
      </x:c>
      <x:c r="D123" s="15" t="n">
        <x:v>1.2000000000000002</x:v>
      </x:c>
      <x:c r="E123" s="4" t="n">
        <x:v>0.024000000000000004</x:v>
      </x:c>
      <x:c r="F123" s="16" t="n">
        <x:v>17062.222222222226</x:v>
      </x:c>
      <x:c r="G123" s="16"/>
      <x:c r="H123" s="16" t="n">
        <x:v>14600</x:v>
      </x:c>
      <x:c r="I123" s="46" t="b">
        <x:v>0</x:v>
      </x:c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31" hidden="0" customWidth="1"/>
    <x:col min="5" max="5" width="29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Greater Jakarta corridor fallback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21" t="str">
        <x:v>PARTIAL GIS gate. Schematic geometry and some corridor weights are authored. No downloaded street/building extract.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22" customHeight="1">
      <x:c r="A5" s="1"/>
      <x:c r="B5" s="1"/>
      <x:c r="C5" s="3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32" customHeight="1">
      <x:c r="A6" s="1"/>
      <x:c r="B6" s="1"/>
      <x:c r="C6" s="13" t="str">
        <x:v>Regional assumption</x:v>
      </x:c>
      <x:c r="D6" s="14" t="str">
        <x:v>Value</x:v>
      </x:c>
      <x:c r="E6" s="14" t="str">
        <x:v>Unit / meaning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22" customHeight="1">
      <x:c r="A7" s="1"/>
      <x:c r="B7" s="1"/>
      <x:c r="C7" s="3" t="str">
        <x:v>National-volume allocation</x:v>
      </x:c>
      <x:c r="D7" s="15" t="n">
        <x:v>0.2</x:v>
      </x:c>
      <x:c r="E7" s="4" t="str">
        <x:v>assumed fraction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22" customHeight="1">
      <x:c r="A8" s="1"/>
      <x:c r="B8" s="1"/>
      <x:c r="C8" s="3" t="str">
        <x:v>Regional parcels annually</x:v>
      </x:c>
      <x:c r="D8" s="16" t="n">
        <x:v>400000000</x:v>
      </x:c>
      <x:c r="E8" s="4" t="str">
        <x:v>parcels/year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22" customHeight="1">
      <x:c r="A9" s="1"/>
      <x:c r="B9" s="1"/>
      <x:c r="C9" s="3" t="str">
        <x:v>Regional parcels daily</x:v>
      </x:c>
      <x:c r="D9" s="16" t="n">
        <x:v>1095890.410958904</x:v>
      </x:c>
      <x:c r="E9" s="4" t="str">
        <x:v>parcels/day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22" customHeight="1">
      <x:c r="A10" s="1"/>
      <x:c r="B10" s="1"/>
      <x:c r="C10" s="3" t="str">
        <x:v>Corridor nodes / edges</x:v>
      </x:c>
      <x:c r="D10" s="4" t="str">
        <x:v>16 / 17</x:v>
      </x:c>
      <x:c r="E10" s="4" t="str">
        <x:v>34 directed arcs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22" customHeight="1">
      <x:c r="A11" s="1"/>
      <x:c r="B11" s="1"/>
      <x:c r="C11" s="3" t="str">
        <x:v>Analytical zones / facilities</x:v>
      </x:c>
      <x:c r="D11" s="4" t="str">
        <x:v>9 / 4</x:v>
      </x:c>
      <x:c r="E11" s="4" t="str">
        <x:v>all facilities hypothetical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22" customHeight="1">
      <x:c r="A12" s="1"/>
      <x:c r="B12" s="1"/>
      <x:c r="C12" s="3" t="str">
        <x:v>CRS</x:v>
      </x:c>
      <x:c r="D12" s="4" t="str">
        <x:v>OGC:CRS84</x:v>
      </x:c>
      <x:c r="E12" s="4" t="str">
        <x:v>longitude, latitude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22" customHeight="1">
      <x:c r="A13" s="1"/>
      <x:c r="B13" s="1"/>
      <x:c r="C13" s="3" t="str">
        <x:v>Road acquisition</x:v>
      </x:c>
      <x:c r="D13" s="4" t="str">
        <x:v>PARTIAL</x:v>
      </x:c>
      <x:c r="E13" s="4" t="str">
        <x:v>coarse corridor attributes only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22" customHeight="1">
      <x:c r="A14" s="1"/>
      <x:c r="B14" s="1"/>
      <x:c r="C14" s="3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22" customHeight="1">
      <x:c r="A15" s="1"/>
      <x:c r="B15" s="1"/>
      <x:c r="C15" s="3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22" customHeight="1">
      <x:c r="A16" s="1"/>
      <x:c r="B16" s="1"/>
      <x:c r="C16" s="3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32" customHeight="1">
      <x:c r="A17" s="1"/>
      <x:c r="B17" s="1"/>
      <x:c r="C17" s="13" t="str">
        <x:v>Zone</x:v>
      </x:c>
      <x:c r="D17" s="14" t="str">
        <x:v>Name</x:v>
      </x:c>
      <x:c r="E17" s="14" t="str">
        <x:v>Daily synthetic parcels</x:v>
      </x:c>
      <x:c r="F17" s="14" t="str">
        <x:v>Internal fraction</x:v>
      </x:c>
      <x:c r="G17" s="14" t="str">
        <x:v>Advantage IDR</x:v>
      </x:c>
      <x:c r="H17" s="14" t="str">
        <x:v>Capacity pressure</x:v>
      </x:c>
      <x:c r="I17" s="14" t="str">
        <x:v>Switching fraction</x:v>
      </x:c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22" customHeight="1">
      <x:c r="A18" s="1"/>
      <x:c r="B18" s="1"/>
      <x:c r="C18" s="3" t="str">
        <x:v>Z_00</x:v>
      </x:c>
      <x:c r="D18" s="49" t="str">
        <x:v>East Jakarta</x:v>
      </x:c>
      <x:c r="E18" s="16" t="n">
        <x:v>180046.6794122376</x:v>
      </x:c>
      <x:c r="F18" s="15" t="n">
        <x:v>1</x:v>
      </x:c>
      <x:c r="G18" s="16" t="n">
        <x:v>3060</x:v>
      </x:c>
      <x:c r="H18" s="15" t="n">
        <x:v>1</x:v>
      </x:c>
      <x:c r="I18" s="15" t="n">
        <x:v>0.985</x:v>
      </x:c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3" t="str">
        <x:v>Z_01</x:v>
      </x:c>
      <x:c r="D19" s="49" t="str">
        <x:v>West Jakarta</x:v>
      </x:c>
      <x:c r="E19" s="16" t="n">
        <x:v>149222.68081506962</x:v>
      </x:c>
      <x:c r="F19" s="15" t="n">
        <x:v>1</x:v>
      </x:c>
      <x:c r="G19" s="16" t="n">
        <x:v>3060</x:v>
      </x:c>
      <x:c r="H19" s="15" t="n">
        <x:v>1</x:v>
      </x:c>
      <x:c r="I19" s="15" t="n">
        <x:v>1</x:v>
      </x:c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 t="str">
        <x:v>Z_02</x:v>
      </x:c>
      <x:c r="D20" s="49" t="str">
        <x:v>North Jakarta</x:v>
      </x:c>
      <x:c r="E20" s="16" t="n">
        <x:v>106030.81445504124</x:v>
      </x:c>
      <x:c r="F20" s="15" t="n">
        <x:v>0</x:v>
      </x:c>
      <x:c r="G20" s="16" t="n">
        <x:v>2415.5555555555566</x:v>
      </x:c>
      <x:c r="H20" s="15" t="n">
        <x:v>1</x:v>
      </x:c>
      <x:c r="I20" s="15" t="n">
        <x:v>0</x:v>
      </x:c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 t="str">
        <x:v>Z_03</x:v>
      </x:c>
      <x:c r="D21" s="49" t="str">
        <x:v>South Jakarta</x:v>
      </x:c>
      <x:c r="E21" s="16" t="n">
        <x:v>134354.71207434736</x:v>
      </x:c>
      <x:c r="F21" s="15" t="n">
        <x:v>0</x:v>
      </x:c>
      <x:c r="G21" s="16" t="n">
        <x:v>2409.0997150997155</x:v>
      </x:c>
      <x:c r="H21" s="15" t="n">
        <x:v>1</x:v>
      </x:c>
      <x:c r="I21" s="15" t="n">
        <x:v>0</x:v>
      </x:c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 t="str">
        <x:v>Z_04</x:v>
      </x:c>
      <x:c r="D22" s="49" t="str">
        <x:v>Tangerang corridor</x:v>
      </x:c>
      <x:c r="E22" s="16" t="n">
        <x:v>110675.25984499288</x:v>
      </x:c>
      <x:c r="F22" s="15" t="n">
        <x:v>0</x:v>
      </x:c>
      <x:c r="G22" s="16" t="n">
        <x:v>2057.7777777777774</x:v>
      </x:c>
      <x:c r="H22" s="15" t="n">
        <x:v>1</x:v>
      </x:c>
      <x:c r="I22" s="15" t="n">
        <x:v>0</x:v>
      </x:c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 t="str">
        <x:v>Z_05</x:v>
      </x:c>
      <x:c r="D23" s="49" t="str">
        <x:v>South Tangerang corridor</x:v>
      </x:c>
      <x:c r="E23" s="16" t="n">
        <x:v>82676.50647974694</x:v>
      </x:c>
      <x:c r="F23" s="15" t="n">
        <x:v>0.6744645730300107</x:v>
      </x:c>
      <x:c r="G23" s="16" t="n">
        <x:v>2879.5003367003364</x:v>
      </x:c>
      <x:c r="H23" s="15" t="n">
        <x:v>1</x:v>
      </x:c>
      <x:c r="I23" s="15" t="n">
        <x:v>0.995</x:v>
      </x:c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 t="str">
        <x:v>Z_06</x:v>
      </x:c>
      <x:c r="D24" s="49" t="str">
        <x:v>Depok</x:v>
      </x:c>
      <x:c r="E24" s="16" t="n">
        <x:v>120614.94454245495</x:v>
      </x:c>
      <x:c r="F24" s="15" t="n">
        <x:v>1</x:v>
      </x:c>
      <x:c r="G24" s="16" t="n">
        <x:v>3060</x:v>
      </x:c>
      <x:c r="H24" s="15" t="n">
        <x:v>1</x:v>
      </x:c>
      <x:c r="I24" s="15" t="n">
        <x:v>1</x:v>
      </x:c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 t="str">
        <x:v>Z_07</x:v>
      </x:c>
      <x:c r="D25" s="49" t="str">
        <x:v>Bogor corridor</x:v>
      </x:c>
      <x:c r="E25" s="16" t="n">
        <x:v>60599.072284458685</x:v>
      </x:c>
      <x:c r="F25" s="15" t="n">
        <x:v>0</x:v>
      </x:c>
      <x:c r="G25" s="16" t="n">
        <x:v>1213.333333333334</x:v>
      </x:c>
      <x:c r="H25" s="15" t="n">
        <x:v>1</x:v>
      </x:c>
      <x:c r="I25" s="15" t="n">
        <x:v>0</x:v>
      </x:c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 t="str">
        <x:v>Z_08</x:v>
      </x:c>
      <x:c r="D26" s="49" t="str">
        <x:v>Bekasi</x:v>
      </x:c>
      <x:c r="E26" s="16" t="n">
        <x:v>151669.74105055482</x:v>
      </x:c>
      <x:c r="F26" s="15" t="n">
        <x:v>0.20540234572813254</x:v>
      </x:c>
      <x:c r="G26" s="16" t="n">
        <x:v>2792.641077441078</x:v>
      </x:c>
      <x:c r="H26" s="15" t="n">
        <x:v>1</x:v>
      </x:c>
      <x:c r="I26" s="15" t="n">
        <x:v>0.015</x:v>
      </x:c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32" customHeight="1">
      <x:c r="A30" s="1"/>
      <x:c r="B30" s="1"/>
      <x:c r="C30" s="13" t="str">
        <x:v>Lane ID</x:v>
      </x:c>
      <x:c r="D30" s="14" t="str">
        <x:v>Hub ID</x:v>
      </x:c>
      <x:c r="E30" s="14" t="str">
        <x:v>Zone ID</x:v>
      </x:c>
      <x:c r="F30" s="14" t="str">
        <x:v>Corridor km</x:v>
      </x:c>
      <x:c r="G30" s="14" t="str">
        <x:v>Estimated minutes</x:v>
      </x:c>
      <x:c r="H30" s="14" t="str">
        <x:v>Reachable</x:v>
      </x:c>
      <x:c r="I30" s="14" t="str">
        <x:v>Local access km</x:v>
      </x:c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 t="str">
        <x:v>L_H_CAW_00</x:v>
      </x:c>
      <x:c r="D31" s="4" t="str">
        <x:v>H_CAW</x:v>
      </x:c>
      <x:c r="E31" s="4" t="str">
        <x:v>Z_00</x:v>
      </x:c>
      <x:c r="F31" s="50" t="n">
        <x:v>0</x:v>
      </x:c>
      <x:c r="G31" s="50" t="n">
        <x:v>0</x:v>
      </x:c>
      <x:c r="H31" s="46" t="b">
        <x:v>1</x:v>
      </x:c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 t="str">
        <x:v>L_H_CAW_01</x:v>
      </x:c>
      <x:c r="D32" s="4" t="str">
        <x:v>H_CAW</x:v>
      </x:c>
      <x:c r="E32" s="4" t="str">
        <x:v>Z_01</x:v>
      </x:c>
      <x:c r="F32" s="50" t="n">
        <x:v>16</x:v>
      </x:c>
      <x:c r="G32" s="50" t="n">
        <x:v>32</x:v>
      </x:c>
      <x:c r="H32" s="46" t="b">
        <x:v>1</x:v>
      </x:c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 t="str">
        <x:v>L_H_CAW_02</x:v>
      </x:c>
      <x:c r="D33" s="4" t="str">
        <x:v>H_CAW</x:v>
      </x:c>
      <x:c r="E33" s="4" t="str">
        <x:v>Z_02</x:v>
      </x:c>
      <x:c r="F33" s="50" t="n">
        <x:v>23.5</x:v>
      </x:c>
      <x:c r="G33" s="50" t="n">
        <x:v>47</x:v>
      </x:c>
      <x:c r="H33" s="46" t="b">
        <x:v>1</x:v>
      </x:c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 t="str">
        <x:v>L_H_CAW_03</x:v>
      </x:c>
      <x:c r="D34" s="4" t="str">
        <x:v>H_CAW</x:v>
      </x:c>
      <x:c r="E34" s="4" t="str">
        <x:v>Z_03</x:v>
      </x:c>
      <x:c r="F34" s="50" t="n">
        <x:v>21.25</x:v>
      </x:c>
      <x:c r="G34" s="50" t="n">
        <x:v>42.5</x:v>
      </x:c>
      <x:c r="H34" s="46" t="b">
        <x:v>1</x:v>
      </x:c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 t="str">
        <x:v>L_H_CAW_04</x:v>
      </x:c>
      <x:c r="D35" s="4" t="str">
        <x:v>H_CAW</x:v>
      </x:c>
      <x:c r="E35" s="4" t="str">
        <x:v>Z_04</x:v>
      </x:c>
      <x:c r="F35" s="50" t="n">
        <x:v>49</x:v>
      </x:c>
      <x:c r="G35" s="50" t="n">
        <x:v>98</x:v>
      </x:c>
      <x:c r="H35" s="46" t="b">
        <x:v>1</x:v>
      </x:c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 t="str">
        <x:v>L_H_CAW_05</x:v>
      </x:c>
      <x:c r="D36" s="4" t="str">
        <x:v>H_CAW</x:v>
      </x:c>
      <x:c r="E36" s="4" t="str">
        <x:v>Z_05</x:v>
      </x:c>
      <x:c r="F36" s="50" t="n">
        <x:v>31.8</x:v>
      </x:c>
      <x:c r="G36" s="50" t="n">
        <x:v>63.6</x:v>
      </x:c>
      <x:c r="H36" s="46" t="b">
        <x:v>1</x:v>
      </x:c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 t="str">
        <x:v>L_H_CAW_06</x:v>
      </x:c>
      <x:c r="D37" s="4" t="str">
        <x:v>H_CAW</x:v>
      </x:c>
      <x:c r="E37" s="4" t="str">
        <x:v>Z_06</x:v>
      </x:c>
      <x:c r="F37" s="50" t="n">
        <x:v>36.35</x:v>
      </x:c>
      <x:c r="G37" s="50" t="n">
        <x:v>72.7</x:v>
      </x:c>
      <x:c r="H37" s="46" t="b">
        <x:v>1</x:v>
      </x:c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 t="str">
        <x:v>L_H_CAW_07</x:v>
      </x:c>
      <x:c r="D38" s="4" t="str">
        <x:v>H_CAW</x:v>
      </x:c>
      <x:c r="E38" s="4" t="str">
        <x:v>Z_07</x:v>
      </x:c>
      <x:c r="F38" s="50" t="n">
        <x:v>48</x:v>
      </x:c>
      <x:c r="G38" s="50" t="n">
        <x:v>96</x:v>
      </x:c>
      <x:c r="H38" s="46" t="b">
        <x:v>1</x:v>
      </x:c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 t="str">
        <x:v>L_H_CAW_08</x:v>
      </x:c>
      <x:c r="D39" s="4" t="str">
        <x:v>H_CAW</x:v>
      </x:c>
      <x:c r="E39" s="4" t="str">
        <x:v>Z_08</x:v>
      </x:c>
      <x:c r="F39" s="50" t="n">
        <x:v>19.28</x:v>
      </x:c>
      <x:c r="G39" s="50" t="n">
        <x:v>38.56</x:v>
      </x:c>
      <x:c r="H39" s="46" t="b">
        <x:v>1</x:v>
      </x:c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 t="str">
        <x:v>L_H_TOM_00</x:v>
      </x:c>
      <x:c r="D40" s="4" t="str">
        <x:v>H_TOM</x:v>
      </x:c>
      <x:c r="E40" s="4" t="str">
        <x:v>Z_00</x:v>
      </x:c>
      <x:c r="F40" s="50" t="n">
        <x:v>16</x:v>
      </x:c>
      <x:c r="G40" s="50" t="n">
        <x:v>32</x:v>
      </x:c>
      <x:c r="H40" s="46" t="b">
        <x:v>1</x:v>
      </x:c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 t="str">
        <x:v>L_H_TOM_01</x:v>
      </x:c>
      <x:c r="D41" s="4" t="str">
        <x:v>H_TOM</x:v>
      </x:c>
      <x:c r="E41" s="4" t="str">
        <x:v>Z_01</x:v>
      </x:c>
      <x:c r="F41" s="50" t="n">
        <x:v>0</x:v>
      </x:c>
      <x:c r="G41" s="50" t="n">
        <x:v>0</x:v>
      </x:c>
      <x:c r="H41" s="46" t="b">
        <x:v>1</x:v>
      </x:c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 t="str">
        <x:v>L_H_TOM_02</x:v>
      </x:c>
      <x:c r="D42" s="4" t="str">
        <x:v>H_TOM</x:v>
      </x:c>
      <x:c r="E42" s="4" t="str">
        <x:v>Z_02</x:v>
      </x:c>
      <x:c r="F42" s="50" t="n">
        <x:v>7.5</x:v>
      </x:c>
      <x:c r="G42" s="50" t="n">
        <x:v>15</x:v>
      </x:c>
      <x:c r="H42" s="46" t="b">
        <x:v>1</x:v>
      </x:c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 t="str">
        <x:v>L_H_TOM_03</x:v>
      </x:c>
      <x:c r="D43" s="4" t="str">
        <x:v>H_TOM</x:v>
      </x:c>
      <x:c r="E43" s="4" t="str">
        <x:v>Z_03</x:v>
      </x:c>
      <x:c r="F43" s="50" t="n">
        <x:v>15.870000000000001</x:v>
      </x:c>
      <x:c r="G43" s="50" t="n">
        <x:v>31.740000000000002</x:v>
      </x:c>
      <x:c r="H43" s="46" t="b">
        <x:v>1</x:v>
      </x:c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 t="str">
        <x:v>L_H_TOM_04</x:v>
      </x:c>
      <x:c r="D44" s="4" t="str">
        <x:v>H_TOM</x:v>
      </x:c>
      <x:c r="E44" s="4" t="str">
        <x:v>Z_04</x:v>
      </x:c>
      <x:c r="F44" s="50" t="n">
        <x:v>33</x:v>
      </x:c>
      <x:c r="G44" s="50" t="n">
        <x:v>66</x:v>
      </x:c>
      <x:c r="H44" s="46" t="b">
        <x:v>1</x:v>
      </x:c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 t="str">
        <x:v>L_H_TOM_05</x:v>
      </x:c>
      <x:c r="D45" s="4" t="str">
        <x:v>H_TOM</x:v>
      </x:c>
      <x:c r="E45" s="4" t="str">
        <x:v>Z_05</x:v>
      </x:c>
      <x:c r="F45" s="50" t="n">
        <x:v>16.42</x:v>
      </x:c>
      <x:c r="G45" s="50" t="n">
        <x:v>32.84</x:v>
      </x:c>
      <x:c r="H45" s="46" t="b">
        <x:v>1</x:v>
      </x:c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 t="str">
        <x:v>L_H_TOM_06</x:v>
      </x:c>
      <x:c r="D46" s="4" t="str">
        <x:v>H_TOM</x:v>
      </x:c>
      <x:c r="E46" s="4" t="str">
        <x:v>Z_06</x:v>
      </x:c>
      <x:c r="F46" s="50" t="n">
        <x:v>30.97</x:v>
      </x:c>
      <x:c r="G46" s="50" t="n">
        <x:v>61.94</x:v>
      </x:c>
      <x:c r="H46" s="46" t="b">
        <x:v>1</x:v>
      </x:c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 t="str">
        <x:v>L_H_TOM_07</x:v>
      </x:c>
      <x:c r="D47" s="4" t="str">
        <x:v>H_TOM</x:v>
      </x:c>
      <x:c r="E47" s="4" t="str">
        <x:v>Z_07</x:v>
      </x:c>
      <x:c r="F47" s="50" t="n">
        <x:v>64</x:v>
      </x:c>
      <x:c r="G47" s="50" t="n">
        <x:v>128</x:v>
      </x:c>
      <x:c r="H47" s="46" t="b">
        <x:v>1</x:v>
      </x:c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 t="str">
        <x:v>L_H_TOM_08</x:v>
      </x:c>
      <x:c r="D48" s="4" t="str">
        <x:v>H_TOM</x:v>
      </x:c>
      <x:c r="E48" s="4" t="str">
        <x:v>Z_08</x:v>
      </x:c>
      <x:c r="F48" s="50" t="n">
        <x:v>35.28</x:v>
      </x:c>
      <x:c r="G48" s="50" t="n">
        <x:v>70.56</x:v>
      </x:c>
      <x:c r="H48" s="46" t="b">
        <x:v>1</x:v>
      </x:c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 t="str">
        <x:v>L_H_DEP_00</x:v>
      </x:c>
      <x:c r="D49" s="4" t="str">
        <x:v>H_DEP</x:v>
      </x:c>
      <x:c r="E49" s="4" t="str">
        <x:v>Z_00</x:v>
      </x:c>
      <x:c r="F49" s="50" t="n">
        <x:v>36.35</x:v>
      </x:c>
      <x:c r="G49" s="50" t="n">
        <x:v>72.7</x:v>
      </x:c>
      <x:c r="H49" s="46" t="b">
        <x:v>1</x:v>
      </x:c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 t="str">
        <x:v>L_H_DEP_01</x:v>
      </x:c>
      <x:c r="D50" s="4" t="str">
        <x:v>H_DEP</x:v>
      </x:c>
      <x:c r="E50" s="4" t="str">
        <x:v>Z_01</x:v>
      </x:c>
      <x:c r="F50" s="50" t="n">
        <x:v>30.970000000000002</x:v>
      </x:c>
      <x:c r="G50" s="50" t="n">
        <x:v>61.94</x:v>
      </x:c>
      <x:c r="H50" s="46" t="b">
        <x:v>1</x:v>
      </x:c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 t="str">
        <x:v>L_H_DEP_02</x:v>
      </x:c>
      <x:c r="D51" s="4" t="str">
        <x:v>H_DEP</x:v>
      </x:c>
      <x:c r="E51" s="4" t="str">
        <x:v>Z_02</x:v>
      </x:c>
      <x:c r="F51" s="50" t="n">
        <x:v>38.47</x:v>
      </x:c>
      <x:c r="G51" s="50" t="n">
        <x:v>76.94</x:v>
      </x:c>
      <x:c r="H51" s="46" t="b">
        <x:v>1</x:v>
      </x:c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 t="str">
        <x:v>L_H_DEP_03</x:v>
      </x:c>
      <x:c r="D52" s="4" t="str">
        <x:v>H_DEP</x:v>
      </x:c>
      <x:c r="E52" s="4" t="str">
        <x:v>Z_03</x:v>
      </x:c>
      <x:c r="F52" s="50" t="n">
        <x:v>15.1</x:v>
      </x:c>
      <x:c r="G52" s="50" t="n">
        <x:v>30.2</x:v>
      </x:c>
      <x:c r="H52" s="46" t="b">
        <x:v>1</x:v>
      </x:c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 t="str">
        <x:v>L_H_DEP_04</x:v>
      </x:c>
      <x:c r="D53" s="4" t="str">
        <x:v>H_DEP</x:v>
      </x:c>
      <x:c r="E53" s="4" t="str">
        <x:v>Z_04</x:v>
      </x:c>
      <x:c r="F53" s="50" t="n">
        <x:v>57.97</x:v>
      </x:c>
      <x:c r="G53" s="50" t="n">
        <x:v>115.94</x:v>
      </x:c>
      <x:c r="H53" s="46" t="b">
        <x:v>1</x:v>
      </x:c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 t="str">
        <x:v>L_H_DEP_05</x:v>
      </x:c>
      <x:c r="D54" s="4" t="str">
        <x:v>H_DEP</x:v>
      </x:c>
      <x:c r="E54" s="4" t="str">
        <x:v>Z_05</x:v>
      </x:c>
      <x:c r="F54" s="50" t="n">
        <x:v>25.650000000000002</x:v>
      </x:c>
      <x:c r="G54" s="50" t="n">
        <x:v>51.300000000000004</x:v>
      </x:c>
      <x:c r="H54" s="46" t="b">
        <x:v>1</x:v>
      </x:c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 t="str">
        <x:v>L_H_DEP_06</x:v>
      </x:c>
      <x:c r="D55" s="4" t="str">
        <x:v>H_DEP</x:v>
      </x:c>
      <x:c r="E55" s="4" t="str">
        <x:v>Z_06</x:v>
      </x:c>
      <x:c r="F55" s="50" t="n">
        <x:v>0</x:v>
      </x:c>
      <x:c r="G55" s="50" t="n">
        <x:v>0</x:v>
      </x:c>
      <x:c r="H55" s="46" t="b">
        <x:v>1</x:v>
      </x:c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 t="str">
        <x:v>L_H_DEP_07</x:v>
      </x:c>
      <x:c r="D56" s="4" t="str">
        <x:v>H_DEP</x:v>
      </x:c>
      <x:c r="E56" s="4" t="str">
        <x:v>Z_07</x:v>
      </x:c>
      <x:c r="F56" s="50" t="n">
        <x:v>70.35</x:v>
      </x:c>
      <x:c r="G56" s="50" t="n">
        <x:v>140.7</x:v>
      </x:c>
      <x:c r="H56" s="46" t="b">
        <x:v>1</x:v>
      </x:c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 t="str">
        <x:v>L_H_DEP_08</x:v>
      </x:c>
      <x:c r="D57" s="4" t="str">
        <x:v>H_DEP</x:v>
      </x:c>
      <x:c r="E57" s="4" t="str">
        <x:v>Z_08</x:v>
      </x:c>
      <x:c r="F57" s="50" t="n">
        <x:v>55.63</x:v>
      </x:c>
      <x:c r="G57" s="50" t="n">
        <x:v>111.26</x:v>
      </x:c>
      <x:c r="H57" s="46" t="b">
        <x:v>1</x:v>
      </x:c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 t="str">
        <x:v>L_H_BEK_CAND_00</x:v>
      </x:c>
      <x:c r="D58" s="4" t="str">
        <x:v>H_BEK_CAND</x:v>
      </x:c>
      <x:c r="E58" s="4" t="str">
        <x:v>Z_00</x:v>
      </x:c>
      <x:c r="F58" s="50" t="n">
        <x:v>19.28</x:v>
      </x:c>
      <x:c r="G58" s="50" t="n">
        <x:v>38.56</x:v>
      </x:c>
      <x:c r="H58" s="46" t="b">
        <x:v>1</x:v>
      </x:c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 t="str">
        <x:v>L_H_BEK_CAND_01</x:v>
      </x:c>
      <x:c r="D59" s="4" t="str">
        <x:v>H_BEK_CAND</x:v>
      </x:c>
      <x:c r="E59" s="4" t="str">
        <x:v>Z_01</x:v>
      </x:c>
      <x:c r="F59" s="50" t="n">
        <x:v>35.28</x:v>
      </x:c>
      <x:c r="G59" s="50" t="n">
        <x:v>70.56</x:v>
      </x:c>
      <x:c r="H59" s="46" t="b">
        <x:v>1</x:v>
      </x:c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 t="str">
        <x:v>L_H_BEK_CAND_02</x:v>
      </x:c>
      <x:c r="D60" s="4" t="str">
        <x:v>H_BEK_CAND</x:v>
      </x:c>
      <x:c r="E60" s="4" t="str">
        <x:v>Z_02</x:v>
      </x:c>
      <x:c r="F60" s="50" t="n">
        <x:v>42.78</x:v>
      </x:c>
      <x:c r="G60" s="50" t="n">
        <x:v>85.56</x:v>
      </x:c>
      <x:c r="H60" s="46" t="b">
        <x:v>1</x:v>
      </x:c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 t="str">
        <x:v>L_H_BEK_CAND_03</x:v>
      </x:c>
      <x:c r="D61" s="4" t="str">
        <x:v>H_BEK_CAND</x:v>
      </x:c>
      <x:c r="E61" s="4" t="str">
        <x:v>Z_03</x:v>
      </x:c>
      <x:c r="F61" s="50" t="n">
        <x:v>40.53</x:v>
      </x:c>
      <x:c r="G61" s="50" t="n">
        <x:v>81.06</x:v>
      </x:c>
      <x:c r="H61" s="46" t="b">
        <x:v>1</x:v>
      </x:c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 t="str">
        <x:v>L_H_BEK_CAND_04</x:v>
      </x:c>
      <x:c r="D62" s="4" t="str">
        <x:v>H_BEK_CAND</x:v>
      </x:c>
      <x:c r="E62" s="4" t="str">
        <x:v>Z_04</x:v>
      </x:c>
      <x:c r="F62" s="50" t="n">
        <x:v>68.28</x:v>
      </x:c>
      <x:c r="G62" s="50" t="n">
        <x:v>136.56</x:v>
      </x:c>
      <x:c r="H62" s="46" t="b">
        <x:v>1</x:v>
      </x:c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 t="str">
        <x:v>L_H_BEK_CAND_05</x:v>
      </x:c>
      <x:c r="D63" s="4" t="str">
        <x:v>H_BEK_CAND</x:v>
      </x:c>
      <x:c r="E63" s="4" t="str">
        <x:v>Z_05</x:v>
      </x:c>
      <x:c r="F63" s="50" t="n">
        <x:v>51.08</x:v>
      </x:c>
      <x:c r="G63" s="50" t="n">
        <x:v>102.16</x:v>
      </x:c>
      <x:c r="H63" s="46" t="b">
        <x:v>1</x:v>
      </x:c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 t="str">
        <x:v>L_H_BEK_CAND_06</x:v>
      </x:c>
      <x:c r="D64" s="4" t="str">
        <x:v>H_BEK_CAND</x:v>
      </x:c>
      <x:c r="E64" s="4" t="str">
        <x:v>Z_06</x:v>
      </x:c>
      <x:c r="F64" s="50" t="n">
        <x:v>55.63</x:v>
      </x:c>
      <x:c r="G64" s="50" t="n">
        <x:v>111.26</x:v>
      </x:c>
      <x:c r="H64" s="46" t="b">
        <x:v>1</x:v>
      </x:c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 t="str">
        <x:v>L_H_BEK_CAND_07</x:v>
      </x:c>
      <x:c r="D65" s="4" t="str">
        <x:v>H_BEK_CAND</x:v>
      </x:c>
      <x:c r="E65" s="4" t="str">
        <x:v>Z_07</x:v>
      </x:c>
      <x:c r="F65" s="50" t="n">
        <x:v>67.28</x:v>
      </x:c>
      <x:c r="G65" s="50" t="n">
        <x:v>134.56</x:v>
      </x:c>
      <x:c r="H65" s="46" t="b">
        <x:v>1</x:v>
      </x:c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 t="str">
        <x:v>L_H_BEK_CAND_08</x:v>
      </x:c>
      <x:c r="D66" s="4" t="str">
        <x:v>H_BEK_CAND</x:v>
      </x:c>
      <x:c r="E66" s="4" t="str">
        <x:v>Z_08</x:v>
      </x:c>
      <x:c r="F66" s="50" t="n">
        <x:v>0</x:v>
      </x:c>
      <x:c r="G66" s="50" t="n">
        <x:v>0</x:v>
      </x:c>
      <x:c r="H66" s="46" t="b">
        <x:v>1</x:v>
      </x:c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3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Monte Carlo, structural reversals and stress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3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22" customHeight="1">
      <x:c r="A5" s="1"/>
      <x:c r="B5" s="1"/>
      <x:c r="C5" s="3" t="str">
        <x:v>Screen candidates</x:v>
      </x:c>
      <x:c r="D5" s="16" t="n">
        <x:v>133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22" customHeight="1">
      <x:c r="A6" s="1"/>
      <x:c r="B6" s="1"/>
      <x:c r="C6" s="3" t="str">
        <x:v>Screen worlds each</x:v>
      </x:c>
      <x:c r="D6" s="16" t="n">
        <x:v>1000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22" customHeight="1">
      <x:c r="A7" s="1"/>
      <x:c r="B7" s="1"/>
      <x:c r="C7" s="3" t="str">
        <x:v>Fresh finalists</x:v>
      </x:c>
      <x:c r="D7" s="16" t="n">
        <x:v>14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22" customHeight="1">
      <x:c r="A8" s="1"/>
      <x:c r="B8" s="1"/>
      <x:c r="C8" s="3" t="str">
        <x:v>Fresh worlds each</x:v>
      </x:c>
      <x:c r="D8" s="16" t="n">
        <x:v>10000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22" customHeight="1">
      <x:c r="A9" s="1"/>
      <x:c r="B9" s="1"/>
      <x:c r="C9" s="3" t="str">
        <x:v>Screen seed</x:v>
      </x:c>
      <x:c r="D9" s="16" t="n">
        <x:v>20261027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22" customHeight="1">
      <x:c r="A10" s="1"/>
      <x:c r="B10" s="1"/>
      <x:c r="C10" s="3" t="str">
        <x:v>Fresh seed</x:v>
      </x:c>
      <x:c r="D10" s="16" t="n">
        <x:v>20261101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22" customHeight="1">
      <x:c r="A11" s="1"/>
      <x:c r="B11" s="1"/>
      <x:c r="C11" s="3" t="str">
        <x:v>National analysis seconds</x:v>
      </x:c>
      <x:c r="D11" s="4" t="n">
        <x:v>15.357498768000369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22" customHeight="1">
      <x:c r="A12" s="1"/>
      <x:c r="B12" s="1"/>
      <x:c r="C12" s="3" t="str">
        <x:v>Required annual other OP increase</x:v>
      </x:c>
      <x:c r="D12" s="4" t="n">
        <x:v>0.5313539134999944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22" customHeight="1">
      <x:c r="A13" s="1"/>
      <x:c r="B13" s="1"/>
      <x:c r="C13" s="3" t="str">
        <x:v>Break-even initial candidate capex</x:v>
      </x:c>
      <x:c r="D13" s="4" t="n">
        <x:v>0.5927786374187498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22" customHeight="1">
      <x:c r="A14" s="1"/>
      <x:c r="B14" s="1"/>
      <x:c r="C14" s="3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22" customHeight="1">
      <x:c r="A15" s="1"/>
      <x:c r="B15" s="1"/>
      <x:c r="C15" s="3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32" customHeight="1">
      <x:c r="A16" s="1"/>
      <x:c r="B16" s="1"/>
      <x:c r="C16" s="13" t="str">
        <x:v>Sensitivity driver</x:v>
      </x:c>
      <x:c r="D16" s="14" t="str">
        <x:v>Low</x:v>
      </x:c>
      <x:c r="E16" s="14" t="str">
        <x:v>High</x:v>
      </x:c>
      <x:c r="F16" s="14" t="str">
        <x:v>NPV at low</x:v>
      </x:c>
      <x:c r="G16" s="14" t="str">
        <x:v>NPV at high</x:v>
      </x:c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22" customHeight="1">
      <x:c r="A17" s="1"/>
      <x:c r="B17" s="1"/>
      <x:c r="C17" s="3" t="str">
        <x:v>software productivity</x:v>
      </x:c>
      <x:c r="D17" s="4" t="n">
        <x:v>0</x:v>
      </x:c>
      <x:c r="E17" s="4" t="n">
        <x:v>0.07</x:v>
      </x:c>
      <x:c r="F17" s="4" t="n">
        <x:v>0.04472041577296264</x:v>
      </x:c>
      <x:c r="G17" s="4" t="n">
        <x:v>1.272142598133382</x:v>
      </x:c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22" customHeight="1">
      <x:c r="A18" s="1"/>
      <x:c r="B18" s="1"/>
      <x:c r="C18" s="3" t="str">
        <x:v>carrier price</x:v>
      </x:c>
      <x:c r="D18" s="4" t="n">
        <x:v>0.85</x:v>
      </x:c>
      <x:c r="E18" s="4" t="n">
        <x:v>1.15</x:v>
      </x:c>
      <x:c r="F18" s="4" t="n">
        <x:v>0.22503425732766935</x:v>
      </x:c>
      <x:c r="G18" s="4" t="n">
        <x:v>0.9875113383062045</x:v>
      </x:c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3" t="str">
        <x:v>travel factor</x:v>
      </x:c>
      <x:c r="D19" s="4" t="n">
        <x:v>0.8</x:v>
      </x:c>
      <x:c r="E19" s="4" t="n">
        <x:v>1.5</x:v>
      </x:c>
      <x:c r="F19" s="4" t="n">
        <x:v>0.7273146867335665</x:v>
      </x:c>
      <x:c r="G19" s="4" t="n">
        <x:v>0.2941974291034043</x:v>
      </x:c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 t="str">
        <x:v>implementation multiplier</x:v>
      </x:c>
      <x:c r="D20" s="4" t="n">
        <x:v>0.9</x:v>
      </x:c>
      <x:c r="E20" s="4" t="n">
        <x:v>1.6</x:v>
      </x:c>
      <x:c r="F20" s="4" t="n">
        <x:v>0.5970182503590693</x:v>
      </x:c>
      <x:c r="G20" s="4" t="n">
        <x:v>0.4288075581352065</x:v>
      </x:c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 t="str">
        <x:v>capacity availability</x:v>
      </x:c>
      <x:c r="D21" s="4" t="n">
        <x:v>0.8</x:v>
      </x:c>
      <x:c r="E21" s="4" t="n">
        <x:v>1.05</x:v>
      </x:c>
      <x:c r="F21" s="4" t="n">
        <x:v>-0.49874172620475227</x:v>
      </x:c>
      <x:c r="G21" s="4" t="n">
        <x:v>1.07834045035021</x:v>
      </x:c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 t="str">
        <x:v>inflation</x:v>
      </x:c>
      <x:c r="D22" s="4" t="n">
        <x:v>0</x:v>
      </x:c>
      <x:c r="E22" s="4" t="n">
        <x:v>0.06</x:v>
      </x:c>
      <x:c r="F22" s="4" t="n">
        <x:v>0.5135515435962341</x:v>
      </x:c>
      <x:c r="G22" s="4" t="n">
        <x:v>0.6629194110364036</x:v>
      </x:c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32" customHeight="1">
      <x:c r="A25" s="1"/>
      <x:c r="B25" s="1"/>
      <x:c r="C25" s="13" t="str">
        <x:v>Structural variant</x:v>
      </x:c>
      <x:c r="D25" s="14" t="str">
        <x:v>Policy ID</x:v>
      </x:c>
      <x:c r="E25" s="14" t="str">
        <x:v>Mean NPV</x:v>
      </x:c>
      <x:c r="F25" s="14" t="str">
        <x:v>p10 NPV</x:v>
      </x:c>
      <x:c r="G25" s="14" t="str">
        <x:v>Baseline internal share</x:v>
      </x:c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 t="str">
        <x:v>central</x:v>
      </x:c>
      <x:c r="D26" s="4" t="str">
        <x:v>P_SOFTWARE_75_100</x:v>
      </x:c>
      <x:c r="E26" s="4" t="n">
        <x:v>1.0167924031226263</x:v>
      </x:c>
      <x:c r="F26" s="4" t="n">
        <x:v>0.24843870672753537</x:v>
      </x:c>
      <x:c r="G26" s="15" t="n">
        <x:v>0.49999999999999994</x:v>
      </x:c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 t="str">
        <x:v>central</x:v>
      </x:c>
      <x:c r="D27" s="4" t="str">
        <x:v>P_SOFTWARE_80_100</x:v>
      </x:c>
      <x:c r="E27" s="4" t="n">
        <x:v>1.0167924031226263</x:v>
      </x:c>
      <x:c r="F27" s="4" t="n">
        <x:v>0.24843870672753537</x:v>
      </x:c>
      <x:c r="G27" s="15" t="n">
        <x:v>0.49999999999999994</x:v>
      </x:c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 t="str">
        <x:v>central</x:v>
      </x:c>
      <x:c r="D28" s="4" t="str">
        <x:v>P_SOFTWARE_85_100</x:v>
      </x:c>
      <x:c r="E28" s="4" t="n">
        <x:v>1.0167924031226263</x:v>
      </x:c>
      <x:c r="F28" s="4" t="n">
        <x:v>0.24843870672753537</x:v>
      </x:c>
      <x:c r="G28" s="15" t="n">
        <x:v>0.49999999999999994</x:v>
      </x:c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 t="str">
        <x:v>central</x:v>
      </x:c>
      <x:c r="D29" s="4" t="str">
        <x:v>P_SOFTWARE_90_100</x:v>
      </x:c>
      <x:c r="E29" s="4" t="n">
        <x:v>1.0167924031226263</x:v>
      </x:c>
      <x:c r="F29" s="4" t="n">
        <x:v>0.24843870672753537</x:v>
      </x:c>
      <x:c r="G29" s="15" t="n">
        <x:v>0.49999999999999994</x:v>
      </x:c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 t="str">
        <x:v>central</x:v>
      </x:c>
      <x:c r="D30" s="4" t="str">
        <x:v>P_SOFTWARE_95_100</x:v>
      </x:c>
      <x:c r="E30" s="4" t="n">
        <x:v>1.0167924031226263</x:v>
      </x:c>
      <x:c r="F30" s="4" t="n">
        <x:v>0.24843870672753537</x:v>
      </x:c>
      <x:c r="G30" s="15" t="n">
        <x:v>0.49999999999999994</x:v>
      </x:c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 t="str">
        <x:v>central</x:v>
      </x:c>
      <x:c r="D31" s="4" t="str">
        <x:v>P_CURRENT</x:v>
      </x:c>
      <x:c r="E31" s="4" t="n">
        <x:v>0</x:v>
      </x:c>
      <x:c r="F31" s="4" t="n">
        <x:v>0</x:v>
      </x:c>
      <x:c r="G31" s="15" t="n">
        <x:v>0.49999999999999994</x:v>
      </x:c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 t="str">
        <x:v>central</x:v>
      </x:c>
      <x:c r="D32" s="4" t="str">
        <x:v>P_RULES_75_100</x:v>
      </x:c>
      <x:c r="E32" s="4" t="n">
        <x:v>1.0155112142704352</x:v>
      </x:c>
      <x:c r="F32" s="4" t="n">
        <x:v>0.21499845638495402</x:v>
      </x:c>
      <x:c r="G32" s="15" t="n">
        <x:v>0.49999999999999994</x:v>
      </x:c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 t="str">
        <x:v>central</x:v>
      </x:c>
      <x:c r="D33" s="4" t="str">
        <x:v>P_RULES_55_94</x:v>
      </x:c>
      <x:c r="E33" s="4" t="n">
        <x:v>0.6273081016920321</x:v>
      </x:c>
      <x:c r="F33" s="4" t="n">
        <x:v>0.13351856150813135</x:v>
      </x:c>
      <x:c r="G33" s="15" t="n">
        <x:v>0.49999999999999994</x:v>
      </x:c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 t="str">
        <x:v>central</x:v>
      </x:c>
      <x:c r="D34" s="4" t="str">
        <x:v>P_RULES_70_88</x:v>
      </x:c>
      <x:c r="E34" s="4" t="n">
        <x:v>0.46802445017497324</x:v>
      </x:c>
      <x:c r="F34" s="4" t="n">
        <x:v>-0.2220691840652375</x:v>
      </x:c>
      <x:c r="G34" s="15" t="n">
        <x:v>0.49999999999999994</x:v>
      </x:c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 t="str">
        <x:v>central</x:v>
      </x:c>
      <x:c r="D35" s="4" t="str">
        <x:v>P_SOFTWARE_60_94</x:v>
      </x:c>
      <x:c r="E35" s="4" t="n">
        <x:v>0.8353271442986793</x:v>
      </x:c>
      <x:c r="F35" s="4" t="n">
        <x:v>0.1595216828740786</x:v>
      </x:c>
      <x:c r="G35" s="15" t="n">
        <x:v>0.49999999999999994</x:v>
      </x:c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 t="str">
        <x:v>central</x:v>
      </x:c>
      <x:c r="D36" s="4" t="str">
        <x:v>P_SOFTWARE_70_88</x:v>
      </x:c>
      <x:c r="E36" s="4" t="n">
        <x:v>0.510367274234047</x:v>
      </x:c>
      <x:c r="F36" s="4" t="n">
        <x:v>-0.1655139109879987</x:v>
      </x:c>
      <x:c r="G36" s="15" t="n">
        <x:v>0.49999999999999994</x:v>
      </x:c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 t="str">
        <x:v>central</x:v>
      </x:c>
      <x:c r="D37" s="4" t="str">
        <x:v>P_TARGETED_75_100</x:v>
      </x:c>
      <x:c r="E37" s="4" t="n">
        <x:v>0.359298478546305</x:v>
      </x:c>
      <x:c r="F37" s="4" t="n">
        <x:v>-0.3612515991595843</x:v>
      </x:c>
      <x:c r="G37" s="15" t="n">
        <x:v>0.49999999999999994</x:v>
      </x:c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 t="str">
        <x:v>central</x:v>
      </x:c>
      <x:c r="D38" s="4" t="str">
        <x:v>P_TARGETED_75_94</x:v>
      </x:c>
      <x:c r="E38" s="4" t="n">
        <x:v>0.3327497420955882</x:v>
      </x:c>
      <x:c r="F38" s="4" t="n">
        <x:v>-0.4104471777139627</x:v>
      </x:c>
      <x:c r="G38" s="15" t="n">
        <x:v>0.49999999999999994</x:v>
      </x:c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 t="str">
        <x:v>central</x:v>
      </x:c>
      <x:c r="D39" s="4" t="str">
        <x:v>P_LARGE_85_100</x:v>
      </x:c>
      <x:c r="E39" s="4" t="n">
        <x:v>-3.2241081471442383</x:v>
      </x:c>
      <x:c r="F39" s="4" t="n">
        <x:v>-4.136061666433948</x:v>
      </x:c>
      <x:c r="G39" s="15" t="n">
        <x:v>0.49999999999999994</x:v>
      </x:c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 t="str">
        <x:v>low_fixed</x:v>
      </x:c>
      <x:c r="D40" s="4" t="str">
        <x:v>P_SOFTWARE_75_100</x:v>
      </x:c>
      <x:c r="E40" s="4" t="n">
        <x:v>0.6068266927685457</x:v>
      </x:c>
      <x:c r="F40" s="4" t="n">
        <x:v>0.08091072576773528</x:v>
      </x:c>
      <x:c r="G40" s="15" t="n">
        <x:v>0.49999999999999994</x:v>
      </x:c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 t="str">
        <x:v>low_fixed</x:v>
      </x:c>
      <x:c r="D41" s="4" t="str">
        <x:v>P_SOFTWARE_80_100</x:v>
      </x:c>
      <x:c r="E41" s="4" t="n">
        <x:v>0.6068266927685457</x:v>
      </x:c>
      <x:c r="F41" s="4" t="n">
        <x:v>0.08091072576773528</x:v>
      </x:c>
      <x:c r="G41" s="15" t="n">
        <x:v>0.49999999999999994</x:v>
      </x:c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 t="str">
        <x:v>low_fixed</x:v>
      </x:c>
      <x:c r="D42" s="4" t="str">
        <x:v>P_SOFTWARE_85_100</x:v>
      </x:c>
      <x:c r="E42" s="4" t="n">
        <x:v>0.6068266927685457</x:v>
      </x:c>
      <x:c r="F42" s="4" t="n">
        <x:v>0.08091072576773528</x:v>
      </x:c>
      <x:c r="G42" s="15" t="n">
        <x:v>0.49999999999999994</x:v>
      </x:c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 t="str">
        <x:v>low_fixed</x:v>
      </x:c>
      <x:c r="D43" s="4" t="str">
        <x:v>P_SOFTWARE_90_100</x:v>
      </x:c>
      <x:c r="E43" s="4" t="n">
        <x:v>0.6068266927685457</x:v>
      </x:c>
      <x:c r="F43" s="4" t="n">
        <x:v>0.08091072576773528</x:v>
      </x:c>
      <x:c r="G43" s="15" t="n">
        <x:v>0.49999999999999994</x:v>
      </x:c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 t="str">
        <x:v>low_fixed</x:v>
      </x:c>
      <x:c r="D44" s="4" t="str">
        <x:v>P_SOFTWARE_95_100</x:v>
      </x:c>
      <x:c r="E44" s="4" t="n">
        <x:v>0.6068266927685457</x:v>
      </x:c>
      <x:c r="F44" s="4" t="n">
        <x:v>0.08091072576773528</x:v>
      </x:c>
      <x:c r="G44" s="15" t="n">
        <x:v>0.49999999999999994</x:v>
      </x:c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 t="str">
        <x:v>low_fixed</x:v>
      </x:c>
      <x:c r="D45" s="4" t="str">
        <x:v>P_CURRENT</x:v>
      </x:c>
      <x:c r="E45" s="4" t="n">
        <x:v>0</x:v>
      </x:c>
      <x:c r="F45" s="4" t="n">
        <x:v>0</x:v>
      </x:c>
      <x:c r="G45" s="15" t="n">
        <x:v>0.49999999999999994</x:v>
      </x:c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 t="str">
        <x:v>low_fixed</x:v>
      </x:c>
      <x:c r="D46" s="4" t="str">
        <x:v>P_RULES_75_100</x:v>
      </x:c>
      <x:c r="E46" s="4" t="n">
        <x:v>0.5798116730404356</x:v>
      </x:c>
      <x:c r="F46" s="4" t="n">
        <x:v>0.11630340230655853</x:v>
      </x:c>
      <x:c r="G46" s="15" t="n">
        <x:v>0.49999999999999994</x:v>
      </x:c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 t="str">
        <x:v>low_fixed</x:v>
      </x:c>
      <x:c r="D47" s="4" t="str">
        <x:v>P_RULES_55_94</x:v>
      </x:c>
      <x:c r="E47" s="4" t="n">
        <x:v>0.4645448578485085</x:v>
      </x:c>
      <x:c r="F47" s="4" t="n">
        <x:v>0.09832738624967892</x:v>
      </x:c>
      <x:c r="G47" s="15" t="n">
        <x:v>0.49999999999999994</x:v>
      </x:c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 t="str">
        <x:v>low_fixed</x:v>
      </x:c>
      <x:c r="D48" s="4" t="str">
        <x:v>P_RULES_70_88</x:v>
      </x:c>
      <x:c r="E48" s="4" t="n">
        <x:v>0.30080857268283157</x:v>
      </x:c>
      <x:c r="F48" s="4" t="n">
        <x:v>-0.11152863138699584</x:v>
      </x:c>
      <x:c r="G48" s="15" t="n">
        <x:v>0.49999999999999994</x:v>
      </x:c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 t="str">
        <x:v>low_fixed</x:v>
      </x:c>
      <x:c r="D49" s="4" t="str">
        <x:v>P_SOFTWARE_60_94</x:v>
      </x:c>
      <x:c r="E49" s="4" t="n">
        <x:v>0.5621116231136701</x:v>
      </x:c>
      <x:c r="F49" s="4" t="n">
        <x:v>0.06007002319865481</x:v>
      </x:c>
      <x:c r="G49" s="15" t="n">
        <x:v>0.49999999999999994</x:v>
      </x:c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 t="str">
        <x:v>low_fixed</x:v>
      </x:c>
      <x:c r="D50" s="4" t="str">
        <x:v>P_SOFTWARE_70_88</x:v>
      </x:c>
      <x:c r="E50" s="4" t="n">
        <x:v>0.35040361387003005</x:v>
      </x:c>
      <x:c r="F50" s="4" t="n">
        <x:v>-0.1310843407691249</x:v>
      </x:c>
      <x:c r="G50" s="15" t="n">
        <x:v>0.49999999999999994</x:v>
      </x:c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 t="str">
        <x:v>low_fixed</x:v>
      </x:c>
      <x:c r="D51" s="4" t="str">
        <x:v>P_TARGETED_75_100</x:v>
      </x:c>
      <x:c r="E51" s="4" t="n">
        <x:v>-0.26415647880993104</x:v>
      </x:c>
      <x:c r="F51" s="4" t="n">
        <x:v>-0.7792129512616104</x:v>
      </x:c>
      <x:c r="G51" s="15" t="n">
        <x:v>0.49999999999999994</x:v>
      </x:c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 t="str">
        <x:v>low_fixed</x:v>
      </x:c>
      <x:c r="D52" s="4" t="str">
        <x:v>P_TARGETED_75_94</x:v>
      </x:c>
      <x:c r="E52" s="4" t="n">
        <x:v>-0.2660690809947968</x:v>
      </x:c>
      <x:c r="F52" s="4" t="n">
        <x:v>-0.7802601089686645</x:v>
      </x:c>
      <x:c r="G52" s="15" t="n">
        <x:v>0.49999999999999994</x:v>
      </x:c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 t="str">
        <x:v>low_fixed</x:v>
      </x:c>
      <x:c r="D53" s="4" t="str">
        <x:v>P_LARGE_85_100</x:v>
      </x:c>
      <x:c r="E53" s="4" t="n">
        <x:v>-4.174510145320062</x:v>
      </x:c>
      <x:c r="F53" s="4" t="n">
        <x:v>-5.007411224673268</x:v>
      </x:c>
      <x:c r="G53" s="15" t="n">
        <x:v>0.49999999999999994</x:v>
      </x:c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 t="str">
        <x:v>high_fixed</x:v>
      </x:c>
      <x:c r="D54" s="4" t="str">
        <x:v>P_SOFTWARE_75_100</x:v>
      </x:c>
      <x:c r="E54" s="4" t="n">
        <x:v>1.635541971000593</x:v>
      </x:c>
      <x:c r="F54" s="4" t="n">
        <x:v>0.6594275701277174</x:v>
      </x:c>
      <x:c r="G54" s="15" t="n">
        <x:v>0.49999999999999994</x:v>
      </x:c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 t="str">
        <x:v>high_fixed</x:v>
      </x:c>
      <x:c r="D55" s="4" t="str">
        <x:v>P_SOFTWARE_80_100</x:v>
      </x:c>
      <x:c r="E55" s="4" t="n">
        <x:v>1.635541971000593</x:v>
      </x:c>
      <x:c r="F55" s="4" t="n">
        <x:v>0.6594275701277174</x:v>
      </x:c>
      <x:c r="G55" s="15" t="n">
        <x:v>0.49999999999999994</x:v>
      </x:c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 t="str">
        <x:v>high_fixed</x:v>
      </x:c>
      <x:c r="D56" s="4" t="str">
        <x:v>P_SOFTWARE_85_100</x:v>
      </x:c>
      <x:c r="E56" s="4" t="n">
        <x:v>1.635541971000593</x:v>
      </x:c>
      <x:c r="F56" s="4" t="n">
        <x:v>0.6594275701277174</x:v>
      </x:c>
      <x:c r="G56" s="15" t="n">
        <x:v>0.49999999999999994</x:v>
      </x:c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 t="str">
        <x:v>high_fixed</x:v>
      </x:c>
      <x:c r="D57" s="4" t="str">
        <x:v>P_SOFTWARE_90_100</x:v>
      </x:c>
      <x:c r="E57" s="4" t="n">
        <x:v>1.635541971000593</x:v>
      </x:c>
      <x:c r="F57" s="4" t="n">
        <x:v>0.6594275701277174</x:v>
      </x:c>
      <x:c r="G57" s="15" t="n">
        <x:v>0.49999999999999994</x:v>
      </x:c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 t="str">
        <x:v>high_fixed</x:v>
      </x:c>
      <x:c r="D58" s="4" t="str">
        <x:v>P_SOFTWARE_95_100</x:v>
      </x:c>
      <x:c r="E58" s="4" t="n">
        <x:v>1.635541971000593</x:v>
      </x:c>
      <x:c r="F58" s="4" t="n">
        <x:v>0.6594275701277174</x:v>
      </x:c>
      <x:c r="G58" s="15" t="n">
        <x:v>0.49999999999999994</x:v>
      </x:c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 t="str">
        <x:v>high_fixed</x:v>
      </x:c>
      <x:c r="D59" s="4" t="str">
        <x:v>P_CURRENT</x:v>
      </x:c>
      <x:c r="E59" s="4" t="n">
        <x:v>0</x:v>
      </x:c>
      <x:c r="F59" s="4" t="n">
        <x:v>0</x:v>
      </x:c>
      <x:c r="G59" s="15" t="n">
        <x:v>0.49999999999999994</x:v>
      </x:c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 t="str">
        <x:v>high_fixed</x:v>
      </x:c>
      <x:c r="D60" s="4" t="str">
        <x:v>P_RULES_75_100</x:v>
      </x:c>
      <x:c r="E60" s="4" t="n">
        <x:v>1.6937296841618958</x:v>
      </x:c>
      <x:c r="F60" s="4" t="n">
        <x:v>0.6375717159007147</x:v>
      </x:c>
      <x:c r="G60" s="15" t="n">
        <x:v>0.49999999999999994</x:v>
      </x:c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 t="str">
        <x:v>high_fixed</x:v>
      </x:c>
      <x:c r="D61" s="4" t="str">
        <x:v>P_RULES_55_94</x:v>
      </x:c>
      <x:c r="E61" s="4" t="n">
        <x:v>0.8904709361457237</x:v>
      </x:c>
      <x:c r="F61" s="4" t="n">
        <x:v>0.3947851403642817</x:v>
      </x:c>
      <x:c r="G61" s="15" t="n">
        <x:v>0.49999999999999994</x:v>
      </x:c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 t="str">
        <x:v>high_fixed</x:v>
      </x:c>
      <x:c r="D62" s="4" t="str">
        <x:v>P_RULES_70_88</x:v>
      </x:c>
      <x:c r="E62" s="4" t="n">
        <x:v>0.7689826310725685</x:v>
      </x:c>
      <x:c r="F62" s="4" t="n">
        <x:v>-0.15374430186806612</x:v>
      </x:c>
      <x:c r="G62" s="15" t="n">
        <x:v>0.49999999999999994</x:v>
      </x:c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 t="str">
        <x:v>high_fixed</x:v>
      </x:c>
      <x:c r="D63" s="4" t="str">
        <x:v>P_SOFTWARE_60_94</x:v>
      </x:c>
      <x:c r="E63" s="4" t="n">
        <x:v>1.215674526266271</x:v>
      </x:c>
      <x:c r="F63" s="4" t="n">
        <x:v>0.4057573255048498</x:v>
      </x:c>
      <x:c r="G63" s="15" t="n">
        <x:v>0.49999999999999994</x:v>
      </x:c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 t="str">
        <x:v>high_fixed</x:v>
      </x:c>
      <x:c r="D64" s="4" t="str">
        <x:v>P_SOFTWARE_70_88</x:v>
      </x:c>
      <x:c r="E64" s="4" t="n">
        <x:v>0.7702704283580004</x:v>
      </x:c>
      <x:c r="F64" s="4" t="n">
        <x:v>-0.08393898971514803</x:v>
      </x:c>
      <x:c r="G64" s="15" t="n">
        <x:v>0.49999999999999994</x:v>
      </x:c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 t="str">
        <x:v>high_fixed</x:v>
      </x:c>
      <x:c r="D65" s="4" t="str">
        <x:v>P_TARGETED_75_100</x:v>
      </x:c>
      <x:c r="E65" s="4" t="n">
        <x:v>1.195376259517124</x:v>
      </x:c>
      <x:c r="F65" s="4" t="n">
        <x:v>0.30634729233783825</x:v>
      </x:c>
      <x:c r="G65" s="15" t="n">
        <x:v>0.49999999999999994</x:v>
      </x:c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 t="str">
        <x:v>high_fixed</x:v>
      </x:c>
      <x:c r="D66" s="4" t="str">
        <x:v>P_TARGETED_75_94</x:v>
      </x:c>
      <x:c r="E66" s="4" t="n">
        <x:v>1.0704640451117338</x:v>
      </x:c>
      <x:c r="F66" s="4" t="n">
        <x:v>0.1303735103239621</x:v>
      </x:c>
      <x:c r="G66" s="15" t="n">
        <x:v>0.49999999999999994</x:v>
      </x:c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 t="str">
        <x:v>high_fixed</x:v>
      </x:c>
      <x:c r="D67" s="4" t="str">
        <x:v>P_LARGE_85_100</x:v>
      </x:c>
      <x:c r="E67" s="4" t="n">
        <x:v>-2.0136739634410925</x:v>
      </x:c>
      <x:c r="F67" s="4" t="n">
        <x:v>-2.942862903516202</x:v>
      </x:c>
      <x:c r="G67" s="15" t="n">
        <x:v>0.49999999999999994</x:v>
      </x:c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 t="str">
        <x:v>flat_mix</x:v>
      </x:c>
      <x:c r="D68" s="4" t="str">
        <x:v>P_SOFTWARE_75_100</x:v>
      </x:c>
      <x:c r="E68" s="4" t="n">
        <x:v>1.362239282592134</x:v>
      </x:c>
      <x:c r="F68" s="4" t="n">
        <x:v>0.45562838738233874</x:v>
      </x:c>
      <x:c r="G68" s="15" t="n">
        <x:v>0.49999999999999994</x:v>
      </x:c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 t="str">
        <x:v>flat_mix</x:v>
      </x:c>
      <x:c r="D69" s="4" t="str">
        <x:v>P_SOFTWARE_80_100</x:v>
      </x:c>
      <x:c r="E69" s="4" t="n">
        <x:v>1.362239282592134</x:v>
      </x:c>
      <x:c r="F69" s="4" t="n">
        <x:v>0.45562838738233874</x:v>
      </x:c>
      <x:c r="G69" s="15" t="n">
        <x:v>0.49999999999999994</x:v>
      </x:c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 t="str">
        <x:v>flat_mix</x:v>
      </x:c>
      <x:c r="D70" s="4" t="str">
        <x:v>P_SOFTWARE_85_100</x:v>
      </x:c>
      <x:c r="E70" s="4" t="n">
        <x:v>1.362239282592134</x:v>
      </x:c>
      <x:c r="F70" s="4" t="n">
        <x:v>0.45562838738233874</x:v>
      </x:c>
      <x:c r="G70" s="15" t="n">
        <x:v>0.49999999999999994</x:v>
      </x:c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 t="str">
        <x:v>flat_mix</x:v>
      </x:c>
      <x:c r="D71" s="4" t="str">
        <x:v>P_SOFTWARE_90_100</x:v>
      </x:c>
      <x:c r="E71" s="4" t="n">
        <x:v>1.362239282592134</x:v>
      </x:c>
      <x:c r="F71" s="4" t="n">
        <x:v>0.45562838738233874</x:v>
      </x:c>
      <x:c r="G71" s="15" t="n">
        <x:v>0.49999999999999994</x:v>
      </x:c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 t="str">
        <x:v>flat_mix</x:v>
      </x:c>
      <x:c r="D72" s="4" t="str">
        <x:v>P_SOFTWARE_95_100</x:v>
      </x:c>
      <x:c r="E72" s="4" t="n">
        <x:v>1.362239282592134</x:v>
      </x:c>
      <x:c r="F72" s="4" t="n">
        <x:v>0.45562838738233874</x:v>
      </x:c>
      <x:c r="G72" s="15" t="n">
        <x:v>0.49999999999999994</x:v>
      </x:c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 t="str">
        <x:v>flat_mix</x:v>
      </x:c>
      <x:c r="D73" s="4" t="str">
        <x:v>P_CURRENT</x:v>
      </x:c>
      <x:c r="E73" s="4" t="n">
        <x:v>0</x:v>
      </x:c>
      <x:c r="F73" s="4" t="n">
        <x:v>0</x:v>
      </x:c>
      <x:c r="G73" s="15" t="n">
        <x:v>0.49999999999999994</x:v>
      </x:c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 t="str">
        <x:v>flat_mix</x:v>
      </x:c>
      <x:c r="D74" s="4" t="str">
        <x:v>P_RULES_75_100</x:v>
      </x:c>
      <x:c r="E74" s="4" t="n">
        <x:v>1.325810514715522</x:v>
      </x:c>
      <x:c r="F74" s="4" t="n">
        <x:v>0.395559116127099</x:v>
      </x:c>
      <x:c r="G74" s="15" t="n">
        <x:v>0.49999999999999994</x:v>
      </x:c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 t="str">
        <x:v>flat_mix</x:v>
      </x:c>
      <x:c r="D75" s="4" t="str">
        <x:v>P_RULES_55_94</x:v>
      </x:c>
      <x:c r="E75" s="4" t="n">
        <x:v>0.7019874354160874</x:v>
      </x:c>
      <x:c r="F75" s="4" t="n">
        <x:v>0.1776225167764683</x:v>
      </x:c>
      <x:c r="G75" s="15" t="n">
        <x:v>0.49999999999999994</x:v>
      </x:c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 t="str">
        <x:v>flat_mix</x:v>
      </x:c>
      <x:c r="D76" s="4" t="str">
        <x:v>P_RULES_70_88</x:v>
      </x:c>
      <x:c r="E76" s="4" t="n">
        <x:v>0.4936041947555996</x:v>
      </x:c>
      <x:c r="F76" s="4" t="n">
        <x:v>-0.26789648004893757</x:v>
      </x:c>
      <x:c r="G76" s="15" t="n">
        <x:v>0.49999999999999994</x:v>
      </x:c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 t="str">
        <x:v>flat_mix</x:v>
      </x:c>
      <x:c r="D77" s="4" t="str">
        <x:v>P_SOFTWARE_60_94</x:v>
      </x:c>
      <x:c r="E77" s="4" t="n">
        <x:v>0.9578829869787181</x:v>
      </x:c>
      <x:c r="F77" s="4" t="n">
        <x:v>0.22175658656178607</x:v>
      </x:c>
      <x:c r="G77" s="15" t="n">
        <x:v>0.49999999999999994</x:v>
      </x:c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 t="str">
        <x:v>flat_mix</x:v>
      </x:c>
      <x:c r="D78" s="4" t="str">
        <x:v>P_SOFTWARE_70_88</x:v>
      </x:c>
      <x:c r="E78" s="4" t="n">
        <x:v>0.5451562514137949</x:v>
      </x:c>
      <x:c r="F78" s="4" t="n">
        <x:v>-0.18030269430295426</x:v>
      </x:c>
      <x:c r="G78" s="15" t="n">
        <x:v>0.49999999999999994</x:v>
      </x:c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 t="str">
        <x:v>flat_mix</x:v>
      </x:c>
      <x:c r="D79" s="4" t="str">
        <x:v>P_TARGETED_75_100</x:v>
      </x:c>
      <x:c r="E79" s="4" t="n">
        <x:v>1.1310695324738935</x:v>
      </x:c>
      <x:c r="F79" s="4" t="n">
        <x:v>0.2208431842405105</x:v>
      </x:c>
      <x:c r="G79" s="15" t="n">
        <x:v>0.49999999999999994</x:v>
      </x:c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 t="str">
        <x:v>flat_mix</x:v>
      </x:c>
      <x:c r="D80" s="4" t="str">
        <x:v>P_TARGETED_75_94</x:v>
      </x:c>
      <x:c r="E80" s="4" t="n">
        <x:v>0.8408217967561131</x:v>
      </x:c>
      <x:c r="F80" s="4" t="n">
        <x:v>-0.08518468075218034</x:v>
      </x:c>
      <x:c r="G80" s="15" t="n">
        <x:v>0.49999999999999994</x:v>
      </x:c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 t="str">
        <x:v>flat_mix</x:v>
      </x:c>
      <x:c r="D81" s="4" t="str">
        <x:v>P_LARGE_85_100</x:v>
      </x:c>
      <x:c r="E81" s="4" t="n">
        <x:v>-1.7710611268699885</x:v>
      </x:c>
      <x:c r="F81" s="4" t="n">
        <x:v>-2.823757818594473</x:v>
      </x:c>
      <x:c r="G81" s="15" t="n">
        <x:v>0.49999999999999994</x:v>
      </x:c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 t="str">
        <x:v>steep_mix</x:v>
      </x:c>
      <x:c r="D82" s="4" t="str">
        <x:v>P_SOFTWARE_75_100</x:v>
      </x:c>
      <x:c r="E82" s="4" t="n">
        <x:v>0.8142059089271206</x:v>
      </x:c>
      <x:c r="F82" s="4" t="n">
        <x:v>0.1301764371404785</x:v>
      </x:c>
      <x:c r="G82" s="15" t="n">
        <x:v>0.49999999999999994</x:v>
      </x:c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 t="str">
        <x:v>steep_mix</x:v>
      </x:c>
      <x:c r="D83" s="4" t="str">
        <x:v>P_SOFTWARE_80_100</x:v>
      </x:c>
      <x:c r="E83" s="4" t="n">
        <x:v>0.8142059089271206</x:v>
      </x:c>
      <x:c r="F83" s="4" t="n">
        <x:v>0.1301764371404785</x:v>
      </x:c>
      <x:c r="G83" s="15" t="n">
        <x:v>0.49999999999999994</x:v>
      </x:c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 t="str">
        <x:v>steep_mix</x:v>
      </x:c>
      <x:c r="D84" s="4" t="str">
        <x:v>P_SOFTWARE_85_100</x:v>
      </x:c>
      <x:c r="E84" s="4" t="n">
        <x:v>0.8142059089271206</x:v>
      </x:c>
      <x:c r="F84" s="4" t="n">
        <x:v>0.1301764371404785</x:v>
      </x:c>
      <x:c r="G84" s="15" t="n">
        <x:v>0.49999999999999994</x:v>
      </x:c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 t="str">
        <x:v>steep_mix</x:v>
      </x:c>
      <x:c r="D85" s="4" t="str">
        <x:v>P_SOFTWARE_90_100</x:v>
      </x:c>
      <x:c r="E85" s="4" t="n">
        <x:v>0.8142059089271206</x:v>
      </x:c>
      <x:c r="F85" s="4" t="n">
        <x:v>0.1301764371404785</x:v>
      </x:c>
      <x:c r="G85" s="15" t="n">
        <x:v>0.49999999999999994</x:v>
      </x:c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 t="str">
        <x:v>steep_mix</x:v>
      </x:c>
      <x:c r="D86" s="4" t="str">
        <x:v>P_SOFTWARE_95_100</x:v>
      </x:c>
      <x:c r="E86" s="4" t="n">
        <x:v>0.8142059089271206</x:v>
      </x:c>
      <x:c r="F86" s="4" t="n">
        <x:v>0.1301764371404785</x:v>
      </x:c>
      <x:c r="G86" s="15" t="n">
        <x:v>0.49999999999999994</x:v>
      </x:c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 t="str">
        <x:v>steep_mix</x:v>
      </x:c>
      <x:c r="D87" s="4" t="str">
        <x:v>P_CURRENT</x:v>
      </x:c>
      <x:c r="E87" s="4" t="n">
        <x:v>0</x:v>
      </x:c>
      <x:c r="F87" s="4" t="n">
        <x:v>0</x:v>
      </x:c>
      <x:c r="G87" s="15" t="n">
        <x:v>0.49999999999999994</x:v>
      </x:c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 t="str">
        <x:v>steep_mix</x:v>
      </x:c>
      <x:c r="D88" s="4" t="str">
        <x:v>P_RULES_75_100</x:v>
      </x:c>
      <x:c r="E88" s="4" t="n">
        <x:v>0.8405482494534177</x:v>
      </x:c>
      <x:c r="F88" s="4" t="n">
        <x:v>0.1329493501605283</x:v>
      </x:c>
      <x:c r="G88" s="15" t="n">
        <x:v>0.49999999999999994</x:v>
      </x:c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 t="str">
        <x:v>steep_mix</x:v>
      </x:c>
      <x:c r="D89" s="4" t="str">
        <x:v>P_RULES_55_94</x:v>
      </x:c>
      <x:c r="E89" s="4" t="n">
        <x:v>0.581237165767765</x:v>
      </x:c>
      <x:c r="F89" s="4" t="n">
        <x:v>0.10641517431368916</x:v>
      </x:c>
      <x:c r="G89" s="15" t="n">
        <x:v>0.49999999999999994</x:v>
      </x:c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 t="str">
        <x:v>steep_mix</x:v>
      </x:c>
      <x:c r="D90" s="4" t="str">
        <x:v>P_RULES_70_88</x:v>
      </x:c>
      <x:c r="E90" s="4" t="n">
        <x:v>0.45038759646096665</x:v>
      </x:c>
      <x:c r="F90" s="4" t="n">
        <x:v>-0.1793655105112478</x:v>
      </x:c>
      <x:c r="G90" s="15" t="n">
        <x:v>0.49999999999999994</x:v>
      </x:c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 t="str">
        <x:v>steep_mix</x:v>
      </x:c>
      <x:c r="D91" s="4" t="str">
        <x:v>P_SOFTWARE_60_94</x:v>
      </x:c>
      <x:c r="E91" s="4" t="n">
        <x:v>0.7454925644982265</x:v>
      </x:c>
      <x:c r="F91" s="4" t="n">
        <x:v>0.10405456503663717</x:v>
      </x:c>
      <x:c r="G91" s="15" t="n">
        <x:v>0.49999999999999994</x:v>
      </x:c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 t="str">
        <x:v>steep_mix</x:v>
      </x:c>
      <x:c r="D92" s="4" t="str">
        <x:v>P_SOFTWARE_70_88</x:v>
      </x:c>
      <x:c r="E92" s="4" t="n">
        <x:v>0.4840008607668038</x:v>
      </x:c>
      <x:c r="F92" s="4" t="n">
        <x:v>-0.14308500729277382</x:v>
      </x:c>
      <x:c r="G92" s="15" t="n">
        <x:v>0.49999999999999994</x:v>
      </x:c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 t="str">
        <x:v>steep_mix</x:v>
      </x:c>
      <x:c r="D93" s="4" t="str">
        <x:v>P_TARGETED_75_100</x:v>
      </x:c>
      <x:c r="E93" s="4" t="n">
        <x:v>-0.06349496889957093</x:v>
      </x:c>
      <x:c r="F93" s="4" t="n">
        <x:v>-0.6735506923562379</x:v>
      </x:c>
      <x:c r="G93" s="15" t="n">
        <x:v>0.49999999999999994</x:v>
      </x:c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 t="str">
        <x:v>steep_mix</x:v>
      </x:c>
      <x:c r="D94" s="4" t="str">
        <x:v>P_TARGETED_75_94</x:v>
      </x:c>
      <x:c r="E94" s="4" t="n">
        <x:v>-0.06366865040379967</x:v>
      </x:c>
      <x:c r="F94" s="4" t="n">
        <x:v>-0.6700689499502738</x:v>
      </x:c>
      <x:c r="G94" s="15" t="n">
        <x:v>0.49999999999999994</x:v>
      </x:c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 t="str">
        <x:v>steep_mix</x:v>
      </x:c>
      <x:c r="D95" s="4" t="str">
        <x:v>P_LARGE_85_100</x:v>
      </x:c>
      <x:c r="E95" s="4" t="n">
        <x:v>-4.037761456896999</x:v>
      </x:c>
      <x:c r="F95" s="4" t="n">
        <x:v>-4.930606584942037</x:v>
      </x:c>
      <x:c r="G95" s="15" t="n">
        <x:v>0.49999999999999994</x:v>
      </x:c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 t="str">
        <x:v>urban_heavy</x:v>
      </x:c>
      <x:c r="D96" s="4" t="str">
        <x:v>P_SOFTWARE_75_100</x:v>
      </x:c>
      <x:c r="E96" s="4" t="n">
        <x:v>1.6035304746516699</x:v>
      </x:c>
      <x:c r="F96" s="4" t="n">
        <x:v>0.674369458531272</x:v>
      </x:c>
      <x:c r="G96" s="15" t="n">
        <x:v>0.5000000000000001</x:v>
      </x:c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 t="str">
        <x:v>urban_heavy</x:v>
      </x:c>
      <x:c r="D97" s="4" t="str">
        <x:v>P_SOFTWARE_80_100</x:v>
      </x:c>
      <x:c r="E97" s="4" t="n">
        <x:v>1.6035372795825635</x:v>
      </x:c>
      <x:c r="F97" s="4" t="n">
        <x:v>0.674369458531272</x:v>
      </x:c>
      <x:c r="G97" s="15" t="n">
        <x:v>0.5000000000000001</x:v>
      </x:c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 t="str">
        <x:v>urban_heavy</x:v>
      </x:c>
      <x:c r="D98" s="4" t="str">
        <x:v>P_SOFTWARE_85_100</x:v>
      </x:c>
      <x:c r="E98" s="4" t="n">
        <x:v>1.6035372795825635</x:v>
      </x:c>
      <x:c r="F98" s="4" t="n">
        <x:v>0.674369458531272</x:v>
      </x:c>
      <x:c r="G98" s="15" t="n">
        <x:v>0.5000000000000001</x:v>
      </x:c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 t="str">
        <x:v>urban_heavy</x:v>
      </x:c>
      <x:c r="D99" s="4" t="str">
        <x:v>P_SOFTWARE_90_100</x:v>
      </x:c>
      <x:c r="E99" s="4" t="n">
        <x:v>1.6035372795825635</x:v>
      </x:c>
      <x:c r="F99" s="4" t="n">
        <x:v>0.674369458531272</x:v>
      </x:c>
      <x:c r="G99" s="15" t="n">
        <x:v>0.5000000000000001</x:v>
      </x:c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 t="str">
        <x:v>urban_heavy</x:v>
      </x:c>
      <x:c r="D100" s="4" t="str">
        <x:v>P_SOFTWARE_95_100</x:v>
      </x:c>
      <x:c r="E100" s="4" t="n">
        <x:v>1.6035372795825635</x:v>
      </x:c>
      <x:c r="F100" s="4" t="n">
        <x:v>0.674369458531272</x:v>
      </x:c>
      <x:c r="G100" s="15" t="n">
        <x:v>0.5000000000000001</x:v>
      </x:c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 t="str">
        <x:v>urban_heavy</x:v>
      </x:c>
      <x:c r="D101" s="4" t="str">
        <x:v>P_CURRENT</x:v>
      </x:c>
      <x:c r="E101" s="4" t="n">
        <x:v>0</x:v>
      </x:c>
      <x:c r="F101" s="4" t="n">
        <x:v>0</x:v>
      </x:c>
      <x:c r="G101" s="15" t="n">
        <x:v>0.5000000000000001</x:v>
      </x:c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 t="str">
        <x:v>urban_heavy</x:v>
      </x:c>
      <x:c r="D102" s="4" t="str">
        <x:v>P_RULES_75_100</x:v>
      </x:c>
      <x:c r="E102" s="4" t="n">
        <x:v>1.6400269759287645</x:v>
      </x:c>
      <x:c r="F102" s="4" t="n">
        <x:v>0.6452607773659127</x:v>
      </x:c>
      <x:c r="G102" s="15" t="n">
        <x:v>0.5000000000000001</x:v>
      </x:c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 t="str">
        <x:v>urban_heavy</x:v>
      </x:c>
      <x:c r="D103" s="4" t="str">
        <x:v>P_RULES_55_94</x:v>
      </x:c>
      <x:c r="E103" s="4" t="n">
        <x:v>0.9129517254568857</x:v>
      </x:c>
      <x:c r="F103" s="4" t="n">
        <x:v>0.48858170536489537</x:v>
      </x:c>
      <x:c r="G103" s="15" t="n">
        <x:v>0.5000000000000001</x:v>
      </x:c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 t="str">
        <x:v>urban_heavy</x:v>
      </x:c>
      <x:c r="D104" s="4" t="str">
        <x:v>P_RULES_70_88</x:v>
      </x:c>
      <x:c r="E104" s="4" t="n">
        <x:v>1.1238556869275045</x:v>
      </x:c>
      <x:c r="F104" s="4" t="n">
        <x:v>0.21811833689037702</x:v>
      </x:c>
      <x:c r="G104" s="15" t="n">
        <x:v>0.5000000000000001</x:v>
      </x:c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 t="str">
        <x:v>urban_heavy</x:v>
      </x:c>
      <x:c r="D105" s="4" t="str">
        <x:v>P_SOFTWARE_60_94</x:v>
      </x:c>
      <x:c r="E105" s="4" t="n">
        <x:v>1.236059855447928</x:v>
      </x:c>
      <x:c r="F105" s="4" t="n">
        <x:v>0.5848624137274971</x:v>
      </x:c>
      <x:c r="G105" s="15" t="n">
        <x:v>0.5000000000000001</x:v>
      </x:c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 t="str">
        <x:v>urban_heavy</x:v>
      </x:c>
      <x:c r="D106" s="4" t="str">
        <x:v>P_SOFTWARE_70_88</x:v>
      </x:c>
      <x:c r="E106" s="4" t="n">
        <x:v>1.1025607529071977</x:v>
      </x:c>
      <x:c r="F106" s="4" t="n">
        <x:v>0.235262574690495</x:v>
      </x:c>
      <x:c r="G106" s="15" t="n">
        <x:v>0.5000000000000001</x:v>
      </x:c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 t="str">
        <x:v>urban_heavy</x:v>
      </x:c>
      <x:c r="D107" s="4" t="str">
        <x:v>P_TARGETED_75_100</x:v>
      </x:c>
      <x:c r="E107" s="4" t="n">
        <x:v>0.8075694949587137</x:v>
      </x:c>
      <x:c r="F107" s="4" t="n">
        <x:v>-0.0829738068700872</x:v>
      </x:c>
      <x:c r="G107" s="15" t="n">
        <x:v>0.5000000000000001</x:v>
      </x:c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 t="str">
        <x:v>urban_heavy</x:v>
      </x:c>
      <x:c r="D108" s="4" t="str">
        <x:v>P_TARGETED_75_94</x:v>
      </x:c>
      <x:c r="E108" s="4" t="n">
        <x:v>0.7763561963729889</x:v>
      </x:c>
      <x:c r="F108" s="4" t="n">
        <x:v>-0.13528617773530896</x:v>
      </x:c>
      <x:c r="G108" s="15" t="n">
        <x:v>0.5000000000000001</x:v>
      </x:c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 t="str">
        <x:v>urban_heavy</x:v>
      </x:c>
      <x:c r="D109" s="4" t="str">
        <x:v>P_LARGE_85_100</x:v>
      </x:c>
      <x:c r="E109" s="4" t="n">
        <x:v>-2.8541230274174745</x:v>
      </x:c>
      <x:c r="F109" s="4" t="n">
        <x:v>-3.863561696180082</x:v>
      </x:c>
      <x:c r="G109" s="15" t="n">
        <x:v>0.5000000000000001</x:v>
      </x:c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 t="str">
        <x:v>regional_heavy</x:v>
      </x:c>
      <x:c r="D110" s="4" t="str">
        <x:v>P_SOFTWARE_75_100</x:v>
      </x:c>
      <x:c r="E110" s="4" t="n">
        <x:v>0.253203914162623</x:v>
      </x:c>
      <x:c r="F110" s="4" t="n">
        <x:v>-0.0750166167767965</x:v>
      </x:c>
      <x:c r="G110" s="15" t="n">
        <x:v>0.5</x:v>
      </x:c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 t="str">
        <x:v>regional_heavy</x:v>
      </x:c>
      <x:c r="D111" s="4" t="str">
        <x:v>P_SOFTWARE_80_100</x:v>
      </x:c>
      <x:c r="E111" s="4" t="n">
        <x:v>0.253203914162623</x:v>
      </x:c>
      <x:c r="F111" s="4" t="n">
        <x:v>-0.0750166167767965</x:v>
      </x:c>
      <x:c r="G111" s="15" t="n">
        <x:v>0.5</x:v>
      </x:c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 t="str">
        <x:v>regional_heavy</x:v>
      </x:c>
      <x:c r="D112" s="4" t="str">
        <x:v>P_SOFTWARE_85_100</x:v>
      </x:c>
      <x:c r="E112" s="4" t="n">
        <x:v>0.253203914162623</x:v>
      </x:c>
      <x:c r="F112" s="4" t="n">
        <x:v>-0.0750166167767965</x:v>
      </x:c>
      <x:c r="G112" s="15" t="n">
        <x:v>0.5</x:v>
      </x:c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 t="str">
        <x:v>regional_heavy</x:v>
      </x:c>
      <x:c r="D113" s="4" t="str">
        <x:v>P_SOFTWARE_90_100</x:v>
      </x:c>
      <x:c r="E113" s="4" t="n">
        <x:v>0.253203914162623</x:v>
      </x:c>
      <x:c r="F113" s="4" t="n">
        <x:v>-0.0750166167767965</x:v>
      </x:c>
      <x:c r="G113" s="15" t="n">
        <x:v>0.5</x:v>
      </x:c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 t="str">
        <x:v>regional_heavy</x:v>
      </x:c>
      <x:c r="D114" s="4" t="str">
        <x:v>P_SOFTWARE_95_100</x:v>
      </x:c>
      <x:c r="E114" s="4" t="n">
        <x:v>0.253203914162623</x:v>
      </x:c>
      <x:c r="F114" s="4" t="n">
        <x:v>-0.0750166167767965</x:v>
      </x:c>
      <x:c r="G114" s="15" t="n">
        <x:v>0.5</x:v>
      </x:c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 t="str">
        <x:v>regional_heavy</x:v>
      </x:c>
      <x:c r="D115" s="4" t="str">
        <x:v>P_CURRENT</x:v>
      </x:c>
      <x:c r="E115" s="4" t="n">
        <x:v>0</x:v>
      </x:c>
      <x:c r="F115" s="4" t="n">
        <x:v>0</x:v>
      </x:c>
      <x:c r="G115" s="15" t="n">
        <x:v>0.5</x:v>
      </x:c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 t="str">
        <x:v>regional_heavy</x:v>
      </x:c>
      <x:c r="D116" s="4" t="str">
        <x:v>P_RULES_75_100</x:v>
      </x:c>
      <x:c r="E116" s="4" t="n">
        <x:v>0.24737993733256353</x:v>
      </x:c>
      <x:c r="F116" s="4" t="n">
        <x:v>0.03105104315566059</x:v>
      </x:c>
      <x:c r="G116" s="15" t="n">
        <x:v>0.5</x:v>
      </x:c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 t="str">
        <x:v>regional_heavy</x:v>
      </x:c>
      <x:c r="D117" s="4" t="str">
        <x:v>P_RULES_55_94</x:v>
      </x:c>
      <x:c r="E117" s="4" t="n">
        <x:v>0.11548112117090648</x:v>
      </x:c>
      <x:c r="F117" s="4" t="n">
        <x:v>-0.21119190514569958</x:v>
      </x:c>
      <x:c r="G117" s="15" t="n">
        <x:v>0.5</x:v>
      </x:c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 t="str">
        <x:v>regional_heavy</x:v>
      </x:c>
      <x:c r="D118" s="4" t="str">
        <x:v>P_RULES_70_88</x:v>
      </x:c>
      <x:c r="E118" s="4" t="n">
        <x:v>-0.3819116970771099</x:v>
      </x:c>
      <x:c r="F118" s="4" t="n">
        <x:v>-1.1257205495436713</x:v>
      </x:c>
      <x:c r="G118" s="15" t="n">
        <x:v>0.5</x:v>
      </x:c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 t="str">
        <x:v>regional_heavy</x:v>
      </x:c>
      <x:c r="D119" s="4" t="str">
        <x:v>P_SOFTWARE_60_94</x:v>
      </x:c>
      <x:c r="E119" s="4" t="n">
        <x:v>0.17286426583586667</x:v>
      </x:c>
      <x:c r="F119" s="4" t="n">
        <x:v>-0.1814415122533606</x:v>
      </x:c>
      <x:c r="G119" s="15" t="n">
        <x:v>0.5</x:v>
      </x:c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 t="str">
        <x:v>regional_heavy</x:v>
      </x:c>
      <x:c r="D120" s="4" t="str">
        <x:v>P_SOFTWARE_70_88</x:v>
      </x:c>
      <x:c r="E120" s="4" t="n">
        <x:v>-0.2173020838800209</x:v>
      </x:c>
      <x:c r="F120" s="4" t="n">
        <x:v>-0.7594367086540892</x:v>
      </x:c>
      <x:c r="G120" s="15" t="n">
        <x:v>0.5</x:v>
      </x:c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 t="str">
        <x:v>regional_heavy</x:v>
      </x:c>
      <x:c r="D121" s="4" t="str">
        <x:v>P_TARGETED_75_100</x:v>
      </x:c>
      <x:c r="E121" s="4" t="n">
        <x:v>-0.41788538008725445</x:v>
      </x:c>
      <x:c r="F121" s="4" t="n">
        <x:v>-0.7601989699427291</x:v>
      </x:c>
      <x:c r="G121" s="15" t="n">
        <x:v>0.5</x:v>
      </x:c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 t="str">
        <x:v>regional_heavy</x:v>
      </x:c>
      <x:c r="D122" s="4" t="str">
        <x:v>P_TARGETED_75_94</x:v>
      </x:c>
      <x:c r="E122" s="4" t="n">
        <x:v>-0.42505782261751035</x:v>
      </x:c>
      <x:c r="F122" s="4" t="n">
        <x:v>-0.764978306057771</x:v>
      </x:c>
      <x:c r="G122" s="15" t="n">
        <x:v>0.5</x:v>
      </x:c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 t="str">
        <x:v>regional_heavy</x:v>
      </x:c>
      <x:c r="D123" s="4" t="str">
        <x:v>P_LARGE_85_100</x:v>
      </x:c>
      <x:c r="E123" s="4" t="n">
        <x:v>-4.208669610101253</x:v>
      </x:c>
      <x:c r="F123" s="4" t="n">
        <x:v>-4.99662347984729</x:v>
      </x:c>
      <x:c r="G123" s="15" t="n">
        <x:v>0.5</x:v>
      </x:c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 t="str">
        <x:v>fixed_priority</x:v>
      </x:c>
      <x:c r="D124" s="4" t="str">
        <x:v>P_SOFTWARE_75_100</x:v>
      </x:c>
      <x:c r="E124" s="4" t="n">
        <x:v>1.019458936928576</x:v>
      </x:c>
      <x:c r="F124" s="4" t="n">
        <x:v>0.22535269936859875</x:v>
      </x:c>
      <x:c r="G124" s="15" t="n">
        <x:v>0.49999999999999994</x:v>
      </x:c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 t="str">
        <x:v>fixed_priority</x:v>
      </x:c>
      <x:c r="D125" s="4" t="str">
        <x:v>P_SOFTWARE_80_100</x:v>
      </x:c>
      <x:c r="E125" s="4" t="n">
        <x:v>1.019458936928576</x:v>
      </x:c>
      <x:c r="F125" s="4" t="n">
        <x:v>0.22535269936859875</x:v>
      </x:c>
      <x:c r="G125" s="15" t="n">
        <x:v>0.49999999999999994</x:v>
      </x:c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 t="str">
        <x:v>fixed_priority</x:v>
      </x:c>
      <x:c r="D126" s="4" t="str">
        <x:v>P_SOFTWARE_85_100</x:v>
      </x:c>
      <x:c r="E126" s="4" t="n">
        <x:v>1.019458936928576</x:v>
      </x:c>
      <x:c r="F126" s="4" t="n">
        <x:v>0.22535269936859875</x:v>
      </x:c>
      <x:c r="G126" s="15" t="n">
        <x:v>0.49999999999999994</x:v>
      </x:c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 t="str">
        <x:v>fixed_priority</x:v>
      </x:c>
      <x:c r="D127" s="4" t="str">
        <x:v>P_SOFTWARE_90_100</x:v>
      </x:c>
      <x:c r="E127" s="4" t="n">
        <x:v>1.019458936928576</x:v>
      </x:c>
      <x:c r="F127" s="4" t="n">
        <x:v>0.22535269936859875</x:v>
      </x:c>
      <x:c r="G127" s="15" t="n">
        <x:v>0.49999999999999994</x:v>
      </x:c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 t="str">
        <x:v>fixed_priority</x:v>
      </x:c>
      <x:c r="D128" s="4" t="str">
        <x:v>P_SOFTWARE_95_100</x:v>
      </x:c>
      <x:c r="E128" s="4" t="n">
        <x:v>1.019458936928576</x:v>
      </x:c>
      <x:c r="F128" s="4" t="n">
        <x:v>0.22535269936859875</x:v>
      </x:c>
      <x:c r="G128" s="15" t="n">
        <x:v>0.49999999999999994</x:v>
      </x:c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 t="str">
        <x:v>fixed_priority</x:v>
      </x:c>
      <x:c r="D129" s="4" t="str">
        <x:v>P_CURRENT</x:v>
      </x:c>
      <x:c r="E129" s="4" t="n">
        <x:v>0</x:v>
      </x:c>
      <x:c r="F129" s="4" t="n">
        <x:v>0</x:v>
      </x:c>
      <x:c r="G129" s="15" t="n">
        <x:v>0.49999999999999994</x:v>
      </x:c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 t="str">
        <x:v>fixed_priority</x:v>
      </x:c>
      <x:c r="D130" s="4" t="str">
        <x:v>P_RULES_75_100</x:v>
      </x:c>
      <x:c r="E130" s="4" t="n">
        <x:v>1.0053517082725991</x:v>
      </x:c>
      <x:c r="F130" s="4" t="n">
        <x:v>0.19211370750690457</x:v>
      </x:c>
      <x:c r="G130" s="15" t="n">
        <x:v>0.49999999999999994</x:v>
      </x:c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 t="str">
        <x:v>fixed_priority</x:v>
      </x:c>
      <x:c r="D131" s="4" t="str">
        <x:v>P_RULES_55_94</x:v>
      </x:c>
      <x:c r="E131" s="4" t="n">
        <x:v>0.6211268764861436</x:v>
      </x:c>
      <x:c r="F131" s="4" t="n">
        <x:v>0.11998602582954525</x:v>
      </x:c>
      <x:c r="G131" s="15" t="n">
        <x:v>0.49999999999999994</x:v>
      </x:c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 t="str">
        <x:v>fixed_priority</x:v>
      </x:c>
      <x:c r="D132" s="4" t="str">
        <x:v>P_RULES_70_88</x:v>
      </x:c>
      <x:c r="E132" s="4" t="n">
        <x:v>0.4553058622832261</x:v>
      </x:c>
      <x:c r="F132" s="4" t="n">
        <x:v>-0.24601797276713705</x:v>
      </x:c>
      <x:c r="G132" s="15" t="n">
        <x:v>0.49999999999999994</x:v>
      </x:c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 t="str">
        <x:v>fixed_priority</x:v>
      </x:c>
      <x:c r="D133" s="4" t="str">
        <x:v>P_SOFTWARE_60_94</x:v>
      </x:c>
      <x:c r="E133" s="4" t="n">
        <x:v>0.8331711532048425</x:v>
      </x:c>
      <x:c r="F133" s="4" t="n">
        <x:v>0.15076480175742707</x:v>
      </x:c>
      <x:c r="G133" s="15" t="n">
        <x:v>0.49999999999999994</x:v>
      </x:c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 t="str">
        <x:v>fixed_priority</x:v>
      </x:c>
      <x:c r="D134" s="4" t="str">
        <x:v>P_SOFTWARE_70_88</x:v>
      </x:c>
      <x:c r="E134" s="4" t="n">
        <x:v>0.5026502113867031</x:v>
      </x:c>
      <x:c r="F134" s="4" t="n">
        <x:v>-0.18156719523153242</x:v>
      </x:c>
      <x:c r="G134" s="15" t="n">
        <x:v>0.49999999999999994</x:v>
      </x:c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 t="str">
        <x:v>fixed_priority</x:v>
      </x:c>
      <x:c r="D135" s="4" t="str">
        <x:v>P_TARGETED_75_100</x:v>
      </x:c>
      <x:c r="E135" s="4" t="n">
        <x:v>0.4048562863316133</x:v>
      </x:c>
      <x:c r="F135" s="4" t="n">
        <x:v>-0.3298530482718193</x:v>
      </x:c>
      <x:c r="G135" s="15" t="n">
        <x:v>0.49999999999999994</x:v>
      </x:c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 t="str">
        <x:v>fixed_priority</x:v>
      </x:c>
      <x:c r="D136" s="4" t="str">
        <x:v>P_TARGETED_75_94</x:v>
      </x:c>
      <x:c r="E136" s="4" t="n">
        <x:v>0.34911769328356196</x:v>
      </x:c>
      <x:c r="F136" s="4" t="n">
        <x:v>-0.400273892045107</x:v>
      </x:c>
      <x:c r="G136" s="15" t="n">
        <x:v>0.49999999999999994</x:v>
      </x:c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 t="str">
        <x:v>fixed_priority</x:v>
      </x:c>
      <x:c r="D137" s="4" t="str">
        <x:v>P_LARGE_85_100</x:v>
      </x:c>
      <x:c r="E137" s="4" t="n">
        <x:v>-3.183886440541906</x:v>
      </x:c>
      <x:c r="F137" s="4" t="n">
        <x:v>-4.1019070012192085</x:v>
      </x:c>
      <x:c r="G137" s="15" t="n">
        <x:v>0.49999999999999994</x:v>
      </x:c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32" customHeight="1">
      <x:c r="A142" s="1"/>
      <x:c r="B142" s="1"/>
      <x:c r="C142" s="13" t="str">
        <x:v>Stress scenario</x:v>
      </x:c>
      <x:c r="D142" s="14" t="str">
        <x:v>Policy ID</x:v>
      </x:c>
      <x:c r="E142" s="14" t="str">
        <x:v>NPV</x:v>
      </x:c>
      <x:c r="F142" s="14" t="str">
        <x:v>Y1 ΔEBIT</x:v>
      </x:c>
      <x:c r="G142" s="14" t="str">
        <x:v>Y5 ΔEBIT</x:v>
      </x:c>
      <x:c r="H142" s="14" t="str">
        <x:v>Min planning feasibility</x:v>
      </x:c>
      <x:c r="I142" s="14" t="str">
        <x:v>Growth gate</x:v>
      </x:c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3" customHeight="1">
      <x:c r="A143" s="1"/>
      <x:c r="B143" s="1"/>
      <x:c r="C143" s="3" t="str">
        <x:v>S_CAMPAIGN_SURGE</x:v>
      </x:c>
      <x:c r="D143" s="4" t="str">
        <x:v>P_SOFTWARE_75_100</x:v>
      </x:c>
      <x:c r="E143" s="4" t="n">
        <x:v>0.4827503431358599</x:v>
      </x:c>
      <x:c r="F143" s="4" t="n">
        <x:v>0.045088912907164345</x:v>
      </x:c>
      <x:c r="G143" s="4" t="n">
        <x:v>0.31275186452129716</x:v>
      </x:c>
      <x:c r="H143" s="15" t="n">
        <x:v>0.8293045716442912</x:v>
      </x:c>
      <x:c r="I143" s="46" t="b">
        <x:v>0</x:v>
      </x:c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3" customHeight="1">
      <x:c r="A144" s="1"/>
      <x:c r="B144" s="1"/>
      <x:c r="C144" s="3" t="str">
        <x:v>S_CAMPAIGN_SURGE</x:v>
      </x:c>
      <x:c r="D144" s="4" t="str">
        <x:v>P_SOFTWARE_80_100</x:v>
      </x:c>
      <x:c r="E144" s="4" t="n">
        <x:v>0.4827503431358599</x:v>
      </x:c>
      <x:c r="F144" s="4" t="n">
        <x:v>0.045088912907164345</x:v>
      </x:c>
      <x:c r="G144" s="4" t="n">
        <x:v>0.31275186452129716</x:v>
      </x:c>
      <x:c r="H144" s="15" t="n">
        <x:v>0.8293045716442912</x:v>
      </x:c>
      <x:c r="I144" s="46" t="b">
        <x:v>0</x:v>
      </x:c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3" customHeight="1">
      <x:c r="A145" s="1"/>
      <x:c r="B145" s="1"/>
      <x:c r="C145" s="3" t="str">
        <x:v>S_CAMPAIGN_SURGE</x:v>
      </x:c>
      <x:c r="D145" s="4" t="str">
        <x:v>P_SOFTWARE_85_100</x:v>
      </x:c>
      <x:c r="E145" s="4" t="n">
        <x:v>0.4827503431358599</x:v>
      </x:c>
      <x:c r="F145" s="4" t="n">
        <x:v>0.045088912907164345</x:v>
      </x:c>
      <x:c r="G145" s="4" t="n">
        <x:v>0.31275186452129716</x:v>
      </x:c>
      <x:c r="H145" s="15" t="n">
        <x:v>0.8293045716442912</x:v>
      </x:c>
      <x:c r="I145" s="46" t="b">
        <x:v>0</x:v>
      </x:c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3" customHeight="1">
      <x:c r="A146" s="1"/>
      <x:c r="B146" s="1"/>
      <x:c r="C146" s="3" t="str">
        <x:v>S_CAMPAIGN_SURGE</x:v>
      </x:c>
      <x:c r="D146" s="4" t="str">
        <x:v>P_SOFTWARE_90_100</x:v>
      </x:c>
      <x:c r="E146" s="4" t="n">
        <x:v>0.4827503431358599</x:v>
      </x:c>
      <x:c r="F146" s="4" t="n">
        <x:v>0.045088912907164345</x:v>
      </x:c>
      <x:c r="G146" s="4" t="n">
        <x:v>0.31275186452129716</x:v>
      </x:c>
      <x:c r="H146" s="15" t="n">
        <x:v>0.8293045716442912</x:v>
      </x:c>
      <x:c r="I146" s="46" t="b">
        <x:v>0</x:v>
      </x:c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3" customHeight="1">
      <x:c r="A147" s="1"/>
      <x:c r="B147" s="1"/>
      <x:c r="C147" s="3" t="str">
        <x:v>S_CAMPAIGN_SURGE</x:v>
      </x:c>
      <x:c r="D147" s="4" t="str">
        <x:v>P_SOFTWARE_95_100</x:v>
      </x:c>
      <x:c r="E147" s="4" t="n">
        <x:v>0.4827503431358599</x:v>
      </x:c>
      <x:c r="F147" s="4" t="n">
        <x:v>0.045088912907164345</x:v>
      </x:c>
      <x:c r="G147" s="4" t="n">
        <x:v>0.31275186452129716</x:v>
      </x:c>
      <x:c r="H147" s="15" t="n">
        <x:v>0.8293045716442912</x:v>
      </x:c>
      <x:c r="I147" s="46" t="b">
        <x:v>0</x:v>
      </x:c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3" customHeight="1">
      <x:c r="A148" s="1"/>
      <x:c r="B148" s="1"/>
      <x:c r="C148" s="3" t="str">
        <x:v>S_CAMPAIGN_SURGE</x:v>
      </x:c>
      <x:c r="D148" s="4" t="str">
        <x:v>P_CURRENT</x:v>
      </x:c>
      <x:c r="E148" s="4" t="n">
        <x:v>0</x:v>
      </x:c>
      <x:c r="F148" s="4" t="n">
        <x:v>0</x:v>
      </x:c>
      <x:c r="G148" s="4" t="n">
        <x:v>0</x:v>
      </x:c>
      <x:c r="H148" s="15" t="n">
        <x:v>0.8231666666666666</x:v>
      </x:c>
      <x:c r="I148" s="46" t="b">
        <x:v>0</x:v>
      </x:c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3" customHeight="1">
      <x:c r="A149" s="1"/>
      <x:c r="B149" s="1"/>
      <x:c r="C149" s="3" t="str">
        <x:v>S_CAMPAIGN_SURGE</x:v>
      </x:c>
      <x:c r="D149" s="4" t="str">
        <x:v>P_RULES_75_100</x:v>
      </x:c>
      <x:c r="E149" s="4" t="n">
        <x:v>0.028334568928383867</x:v>
      </x:c>
      <x:c r="F149" s="4" t="n">
        <x:v>-0.0011458668648488407</x:v>
      </x:c>
      <x:c r="G149" s="4" t="n">
        <x:v>0.015328152167825237</x:v>
      </x:c>
      <x:c r="H149" s="15" t="n">
        <x:v>0.8244097222222222</x:v>
      </x:c>
      <x:c r="I149" s="46" t="b">
        <x:v>0</x:v>
      </x:c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3" customHeight="1">
      <x:c r="A150" s="1"/>
      <x:c r="B150" s="1"/>
      <x:c r="C150" s="3" t="str">
        <x:v>S_CAMPAIGN_SURGE</x:v>
      </x:c>
      <x:c r="D150" s="4" t="str">
        <x:v>P_RULES_55_94</x:v>
      </x:c>
      <x:c r="E150" s="4" t="n">
        <x:v>-1.2611879135613304</x:v>
      </x:c>
      <x:c r="F150" s="4" t="n">
        <x:v>-0.314585498793153</x:v>
      </x:c>
      <x:c r="G150" s="4" t="n">
        <x:v>-0.40148438619224436</x:v>
      </x:c>
      <x:c r="H150" s="15" t="n">
        <x:v>0.835325464382716</x:v>
      </x:c>
      <x:c r="I150" s="46" t="b">
        <x:v>0</x:v>
      </x:c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3" customHeight="1">
      <x:c r="A151" s="1"/>
      <x:c r="B151" s="1"/>
      <x:c r="C151" s="3" t="str">
        <x:v>S_CAMPAIGN_SURGE</x:v>
      </x:c>
      <x:c r="D151" s="4" t="str">
        <x:v>P_RULES_70_88</x:v>
      </x:c>
      <x:c r="E151" s="4" t="n">
        <x:v>-2.9784728488897523</x:v>
      </x:c>
      <x:c r="F151" s="4" t="n">
        <x:v>-0.7191605723163862</x:v>
      </x:c>
      <x:c r="G151" s="4" t="n">
        <x:v>-0.9566613002890811</x:v>
      </x:c>
      <x:c r="H151" s="15" t="n">
        <x:v>0.8504703703703703</x:v>
      </x:c>
      <x:c r="I151" s="46" t="b">
        <x:v>0</x:v>
      </x:c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3" customHeight="1">
      <x:c r="A152" s="1"/>
      <x:c r="B152" s="1"/>
      <x:c r="C152" s="3" t="str">
        <x:v>S_CAMPAIGN_SURGE</x:v>
      </x:c>
      <x:c r="D152" s="4" t="str">
        <x:v>P_SOFTWARE_60_94</x:v>
      </x:c>
      <x:c r="E152" s="4" t="n">
        <x:v>-0.5354333273057031</x:v>
      </x:c>
      <x:c r="F152" s="4" t="n">
        <x:v>-0.153790179889953</x:v>
      </x:c>
      <x:c r="G152" s="4" t="n">
        <x:v>-0.11138977376590958</x:v>
      </x:c>
      <x:c r="H152" s="15" t="n">
        <x:v>0.836441029738319</x:v>
      </x:c>
      <x:c r="I152" s="46" t="b">
        <x:v>0</x:v>
      </x:c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3" customHeight="1">
      <x:c r="A153" s="1"/>
      <x:c r="B153" s="1"/>
      <x:c r="C153" s="3" t="str">
        <x:v>S_CAMPAIGN_SURGE</x:v>
      </x:c>
      <x:c r="D153" s="4" t="str">
        <x:v>P_SOFTWARE_70_88</x:v>
      </x:c>
      <x:c r="E153" s="4" t="n">
        <x:v>-2.0871669441850544</x:v>
      </x:c>
      <x:c r="F153" s="4" t="n">
        <x:v>-0.3945250419909603</x:v>
      </x:c>
      <x:c r="G153" s="4" t="n">
        <x:v>-0.6786667947996876</x:v>
      </x:c>
      <x:c r="H153" s="15" t="n">
        <x:v>0.8469785351396153</x:v>
      </x:c>
      <x:c r="I153" s="46" t="b">
        <x:v>0</x:v>
      </x:c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3" customHeight="1">
      <x:c r="A154" s="1"/>
      <x:c r="B154" s="1"/>
      <x:c r="C154" s="3" t="str">
        <x:v>S_CAMPAIGN_SURGE</x:v>
      </x:c>
      <x:c r="D154" s="4" t="str">
        <x:v>P_TARGETED_75_100</x:v>
      </x:c>
      <x:c r="E154" s="4" t="n">
        <x:v>0.9932133039458668</x:v>
      </x:c>
      <x:c r="F154" s="4" t="n">
        <x:v>0.06521608083855172</x:v>
      </x:c>
      <x:c r="G154" s="4" t="n">
        <x:v>0.8399720688739701</x:v>
      </x:c>
      <x:c r="H154" s="15" t="n">
        <x:v>0.8573351171505712</x:v>
      </x:c>
      <x:c r="I154" s="46" t="b">
        <x:v>0</x:v>
      </x:c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3" customHeight="1">
      <x:c r="A155" s="1"/>
      <x:c r="B155" s="1"/>
      <x:c r="C155" s="3" t="str">
        <x:v>S_CAMPAIGN_SURGE</x:v>
      </x:c>
      <x:c r="D155" s="4" t="str">
        <x:v>P_TARGETED_75_94</x:v>
      </x:c>
      <x:c r="E155" s="4" t="n">
        <x:v>0.7689714765236381</x:v>
      </x:c>
      <x:c r="F155" s="4" t="n">
        <x:v>-0.0732124068811842</x:v>
      </x:c>
      <x:c r="G155" s="4" t="n">
        <x:v>0.8060390279213517</x:v>
      </x:c>
      <x:c r="H155" s="15" t="n">
        <x:v>0.8618819301812379</x:v>
      </x:c>
      <x:c r="I155" s="46" t="b">
        <x:v>0</x:v>
      </x:c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3" customHeight="1">
      <x:c r="A156" s="1"/>
      <x:c r="B156" s="1"/>
      <x:c r="C156" s="3" t="str">
        <x:v>S_CAMPAIGN_SURGE</x:v>
      </x:c>
      <x:c r="D156" s="4" t="str">
        <x:v>P_LARGE_85_100</x:v>
      </x:c>
      <x:c r="E156" s="4" t="n">
        <x:v>-1.332187466188285</x:v>
      </x:c>
      <x:c r="F156" s="4" t="n">
        <x:v>-0.4272937968844285</x:v>
      </x:c>
      <x:c r="G156" s="4" t="n">
        <x:v>0.7314701604564807</x:v>
      </x:c>
      <x:c r="H156" s="15" t="n">
        <x:v>0.8630415517230248</x:v>
      </x:c>
      <x:c r="I156" s="46" t="b">
        <x:v>0</x:v>
      </x:c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3" customHeight="1">
      <x:c r="A157" s="1"/>
      <x:c r="B157" s="1"/>
      <x:c r="C157" s="3" t="str">
        <x:v>S_HUB_CAPACITY_LOSS</x:v>
      </x:c>
      <x:c r="D157" s="4" t="str">
        <x:v>P_SOFTWARE_75_100</x:v>
      </x:c>
      <x:c r="E157" s="4" t="n">
        <x:v>0.07802834441751366</x:v>
      </x:c>
      <x:c r="F157" s="4" t="n">
        <x:v>-0.028401550416731848</x:v>
      </x:c>
      <x:c r="G157" s="4" t="n">
        <x:v>0.1223669728991949</x:v>
      </x:c>
      <x:c r="H157" s="15" t="n">
        <x:v>0.976655175</x:v>
      </x:c>
      <x:c r="I157" s="46" t="b">
        <x:v>0</x:v>
      </x:c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3" customHeight="1">
      <x:c r="A158" s="1"/>
      <x:c r="B158" s="1"/>
      <x:c r="C158" s="3" t="str">
        <x:v>S_HUB_CAPACITY_LOSS</x:v>
      </x:c>
      <x:c r="D158" s="4" t="str">
        <x:v>P_SOFTWARE_80_100</x:v>
      </x:c>
      <x:c r="E158" s="4" t="n">
        <x:v>0.07802834441751366</x:v>
      </x:c>
      <x:c r="F158" s="4" t="n">
        <x:v>-0.028401550416731848</x:v>
      </x:c>
      <x:c r="G158" s="4" t="n">
        <x:v>0.1223669728991949</x:v>
      </x:c>
      <x:c r="H158" s="15" t="n">
        <x:v>0.976655175</x:v>
      </x:c>
      <x:c r="I158" s="46" t="b">
        <x:v>0</x:v>
      </x:c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3" customHeight="1">
      <x:c r="A159" s="1"/>
      <x:c r="B159" s="1"/>
      <x:c r="C159" s="3" t="str">
        <x:v>S_HUB_CAPACITY_LOSS</x:v>
      </x:c>
      <x:c r="D159" s="4" t="str">
        <x:v>P_SOFTWARE_85_100</x:v>
      </x:c>
      <x:c r="E159" s="4" t="n">
        <x:v>0.07802834441751366</x:v>
      </x:c>
      <x:c r="F159" s="4" t="n">
        <x:v>-0.028401550416731848</x:v>
      </x:c>
      <x:c r="G159" s="4" t="n">
        <x:v>0.1223669728991949</x:v>
      </x:c>
      <x:c r="H159" s="15" t="n">
        <x:v>0.976655175</x:v>
      </x:c>
      <x:c r="I159" s="46" t="b">
        <x:v>0</x:v>
      </x:c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3" customHeight="1">
      <x:c r="A160" s="1"/>
      <x:c r="B160" s="1"/>
      <x:c r="C160" s="3" t="str">
        <x:v>S_HUB_CAPACITY_LOSS</x:v>
      </x:c>
      <x:c r="D160" s="4" t="str">
        <x:v>P_SOFTWARE_90_100</x:v>
      </x:c>
      <x:c r="E160" s="4" t="n">
        <x:v>0.07802834441751366</x:v>
      </x:c>
      <x:c r="F160" s="4" t="n">
        <x:v>-0.028401550416731848</x:v>
      </x:c>
      <x:c r="G160" s="4" t="n">
        <x:v>0.1223669728991949</x:v>
      </x:c>
      <x:c r="H160" s="15" t="n">
        <x:v>0.976655175</x:v>
      </x:c>
      <x:c r="I160" s="46" t="b">
        <x:v>0</x:v>
      </x:c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3" customHeight="1">
      <x:c r="A161" s="1"/>
      <x:c r="B161" s="1"/>
      <x:c r="C161" s="3" t="str">
        <x:v>S_HUB_CAPACITY_LOSS</x:v>
      </x:c>
      <x:c r="D161" s="4" t="str">
        <x:v>P_SOFTWARE_95_100</x:v>
      </x:c>
      <x:c r="E161" s="4" t="n">
        <x:v>0.07802834441751366</x:v>
      </x:c>
      <x:c r="F161" s="4" t="n">
        <x:v>-0.028401550416731848</x:v>
      </x:c>
      <x:c r="G161" s="4" t="n">
        <x:v>0.1223669728991949</x:v>
      </x:c>
      <x:c r="H161" s="15" t="n">
        <x:v>0.976655175</x:v>
      </x:c>
      <x:c r="I161" s="46" t="b">
        <x:v>0</x:v>
      </x:c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3" customHeight="1">
      <x:c r="A162" s="1"/>
      <x:c r="B162" s="1"/>
      <x:c r="C162" s="3" t="str">
        <x:v>S_HUB_CAPACITY_LOSS</x:v>
      </x:c>
      <x:c r="D162" s="4" t="str">
        <x:v>P_CURRENT</x:v>
      </x:c>
      <x:c r="E162" s="4" t="n">
        <x:v>0</x:v>
      </x:c>
      <x:c r="F162" s="4" t="n">
        <x:v>0</x:v>
      </x:c>
      <x:c r="G162" s="4" t="n">
        <x:v>0</x:v>
      </x:c>
      <x:c r="H162" s="15" t="n">
        <x:v>0.97753</x:v>
      </x:c>
      <x:c r="I162" s="46" t="b">
        <x:v>0</x:v>
      </x:c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3" customHeight="1">
      <x:c r="A163" s="1"/>
      <x:c r="B163" s="1"/>
      <x:c r="C163" s="3" t="str">
        <x:v>S_HUB_CAPACITY_LOSS</x:v>
      </x:c>
      <x:c r="D163" s="4" t="str">
        <x:v>P_RULES_75_100</x:v>
      </x:c>
      <x:c r="E163" s="4" t="n">
        <x:v>-0.00993503230815653</x:v>
      </x:c>
      <x:c r="F163" s="4" t="n">
        <x:v>-0.0140112613960207</x:v>
      </x:c>
      <x:c r="G163" s="4" t="n">
        <x:v>0.001230625305129962</x:v>
      </x:c>
      <x:c r="H163" s="15" t="n">
        <x:v>0.9771129166666667</x:v>
      </x:c>
      <x:c r="I163" s="46" t="b">
        <x:v>0</x:v>
      </x:c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3" customHeight="1">
      <x:c r="A164" s="1"/>
      <x:c r="B164" s="1"/>
      <x:c r="C164" s="3" t="str">
        <x:v>S_HUB_CAPACITY_LOSS</x:v>
      </x:c>
      <x:c r="D164" s="4" t="str">
        <x:v>P_RULES_55_94</x:v>
      </x:c>
      <x:c r="E164" s="4" t="n">
        <x:v>-0.45890209474864396</x:v>
      </x:c>
      <x:c r="F164" s="4" t="n">
        <x:v>-0.10307092495887403</x:v>
      </x:c>
      <x:c r="G164" s="4" t="n">
        <x:v>-0.15015957888074283</x:v>
      </x:c>
      <x:c r="H164" s="15" t="n">
        <x:v>0.9875907860416666</x:v>
      </x:c>
      <x:c r="I164" s="46" t="b">
        <x:v>0</x:v>
      </x:c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3" customHeight="1">
      <x:c r="A165" s="1"/>
      <x:c r="B165" s="1"/>
      <x:c r="C165" s="3" t="str">
        <x:v>S_HUB_CAPACITY_LOSS</x:v>
      </x:c>
      <x:c r="D165" s="4" t="str">
        <x:v>P_RULES_70_88</x:v>
      </x:c>
      <x:c r="E165" s="4" t="n">
        <x:v>-1.7131846234611272</x:v>
      </x:c>
      <x:c r="F165" s="4" t="n">
        <x:v>-0.40108248946555436</x:v>
      </x:c>
      <x:c r="G165" s="4" t="n">
        <x:v>-0.5547544817551078</x:v>
      </x:c>
      <x:c r="H165" s="15" t="n">
        <x:v>0.9826199999999999</x:v>
      </x:c>
      <x:c r="I165" s="46" t="b">
        <x:v>0</x:v>
      </x:c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3" customHeight="1">
      <x:c r="A166" s="1"/>
      <x:c r="B166" s="1"/>
      <x:c r="C166" s="3" t="str">
        <x:v>S_HUB_CAPACITY_LOSS</x:v>
      </x:c>
      <x:c r="D166" s="4" t="str">
        <x:v>P_SOFTWARE_60_94</x:v>
      </x:c>
      <x:c r="E166" s="4" t="n">
        <x:v>-0.11656663392880788</x:v>
      </x:c>
      <x:c r="F166" s="4" t="n">
        <x:v>-0.06545315929454218</x:v>
      </x:c>
      <x:c r="G166" s="4" t="n">
        <x:v>0.03464020710730992</x:v>
      </x:c>
      <x:c r="H166" s="15" t="n">
        <x:v>0.9864264089308366</x:v>
      </x:c>
      <x:c r="I166" s="46" t="b">
        <x:v>0</x:v>
      </x:c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3" customHeight="1">
      <x:c r="A167" s="1"/>
      <x:c r="B167" s="1"/>
      <x:c r="C167" s="3" t="str">
        <x:v>S_HUB_CAPACITY_LOSS</x:v>
      </x:c>
      <x:c r="D167" s="4" t="str">
        <x:v>P_SOFTWARE_70_88</x:v>
      </x:c>
      <x:c r="E167" s="4" t="n">
        <x:v>-1.1885530814591598</x:v>
      </x:c>
      <x:c r="F167" s="4" t="n">
        <x:v>-0.19230363459391994</x:v>
      </x:c>
      <x:c r="G167" s="4" t="n">
        <x:v>-0.3792953540025353</x:v>
      </x:c>
      <x:c r="H167" s="15" t="n">
        <x:v>0.9865624</x:v>
      </x:c>
      <x:c r="I167" s="46" t="b">
        <x:v>0</x:v>
      </x:c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3" customHeight="1">
      <x:c r="A168" s="1"/>
      <x:c r="B168" s="1"/>
      <x:c r="C168" s="3" t="str">
        <x:v>S_HUB_CAPACITY_LOSS</x:v>
      </x:c>
      <x:c r="D168" s="4" t="str">
        <x:v>P_TARGETED_75_100</x:v>
      </x:c>
      <x:c r="E168" s="4" t="n">
        <x:v>0.5970761091272083</x:v>
      </x:c>
      <x:c r="F168" s="4" t="n">
        <x:v>-0.03324827709870133</x:v>
      </x:c>
      <x:c r="G168" s="4" t="n">
        <x:v>0.6910601905345796</x:v>
      </x:c>
      <x:c r="H168" s="15" t="n">
        <x:v>0.9721846</x:v>
      </x:c>
      <x:c r="I168" s="46" t="b">
        <x:v>0</x:v>
      </x:c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3" customHeight="1">
      <x:c r="A169" s="1"/>
      <x:c r="B169" s="1"/>
      <x:c r="C169" s="3" t="str">
        <x:v>S_HUB_CAPACITY_LOSS</x:v>
      </x:c>
      <x:c r="D169" s="4" t="str">
        <x:v>P_TARGETED_75_94</x:v>
      </x:c>
      <x:c r="E169" s="4" t="n">
        <x:v>0.36720093722927416</x:v>
      </x:c>
      <x:c r="F169" s="4" t="n">
        <x:v>-0.07697516541757705</x:v>
      </x:c>
      <x:c r="G169" s="4" t="n">
        <x:v>0.5976944102355982</x:v>
      </x:c>
      <x:c r="H169" s="15" t="n">
        <x:v>0.9895136143875001</x:v>
      </x:c>
      <x:c r="I169" s="46" t="b">
        <x:v>0</x:v>
      </x:c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3" customHeight="1">
      <x:c r="A170" s="1"/>
      <x:c r="B170" s="1"/>
      <x:c r="C170" s="3" t="str">
        <x:v>S_HUB_CAPACITY_LOSS</x:v>
      </x:c>
      <x:c r="D170" s="4" t="str">
        <x:v>P_LARGE_85_100</x:v>
      </x:c>
      <x:c r="E170" s="4" t="n">
        <x:v>-1.3074273392598665</x:v>
      </x:c>
      <x:c r="F170" s="4" t="n">
        <x:v>-0.4816745132966719</x:v>
      </x:c>
      <x:c r="G170" s="4" t="n">
        <x:v>0.8356418090526877</x:v>
      </x:c>
      <x:c r="H170" s="15" t="n">
        <x:v>0.98613735</x:v>
      </x:c>
      <x:c r="I170" s="46" t="b">
        <x:v>0</x:v>
      </x:c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  <x:row r="171" ht="23" customHeight="1">
      <x:c r="C171" s="52" t="str">
        <x:v>S_CORRIDOR_DISRUPTION</x:v>
      </x:c>
      <x:c r="D171" s="52" t="str">
        <x:v>P_SOFTWARE_75_100</x:v>
      </x:c>
      <x:c r="E171" s="52" t="n">
        <x:v>0.4466971338641937</x:v>
      </x:c>
      <x:c r="F171" s="52" t="n">
        <x:v>0.08225108864629818</x:v>
      </x:c>
      <x:c r="G171" s="52" t="n">
        <x:v>0.27213176936595346</x:v>
      </x:c>
      <x:c r="H171" s="54" t="n">
        <x:v>0.9870417499999999</x:v>
      </x:c>
      <x:c r="I171" s="53" t="b">
        <x:v>0</x:v>
      </x:c>
    </x:row>
    <x:row r="172" ht="23" customHeight="1">
      <x:c r="C172" s="52" t="str">
        <x:v>S_CORRIDOR_DISRUPTION</x:v>
      </x:c>
      <x:c r="D172" s="52" t="str">
        <x:v>P_SOFTWARE_80_100</x:v>
      </x:c>
      <x:c r="E172" s="52" t="n">
        <x:v>0.4466971338641937</x:v>
      </x:c>
      <x:c r="F172" s="52" t="n">
        <x:v>0.08225108864629818</x:v>
      </x:c>
      <x:c r="G172" s="52" t="n">
        <x:v>0.27213176936595346</x:v>
      </x:c>
      <x:c r="H172" s="54" t="n">
        <x:v>0.9870417499999999</x:v>
      </x:c>
      <x:c r="I172" s="53" t="b">
        <x:v>0</x:v>
      </x:c>
    </x:row>
    <x:row r="173" ht="23" customHeight="1">
      <x:c r="C173" s="52" t="str">
        <x:v>S_CORRIDOR_DISRUPTION</x:v>
      </x:c>
      <x:c r="D173" s="52" t="str">
        <x:v>P_SOFTWARE_85_100</x:v>
      </x:c>
      <x:c r="E173" s="52" t="n">
        <x:v>0.4466971338641937</x:v>
      </x:c>
      <x:c r="F173" s="52" t="n">
        <x:v>0.08225108864629818</x:v>
      </x:c>
      <x:c r="G173" s="52" t="n">
        <x:v>0.27213176936595346</x:v>
      </x:c>
      <x:c r="H173" s="54" t="n">
        <x:v>0.9870417499999999</x:v>
      </x:c>
      <x:c r="I173" s="53" t="b">
        <x:v>0</x:v>
      </x:c>
    </x:row>
    <x:row r="174" ht="23" customHeight="1">
      <x:c r="C174" s="52" t="str">
        <x:v>S_CORRIDOR_DISRUPTION</x:v>
      </x:c>
      <x:c r="D174" s="52" t="str">
        <x:v>P_SOFTWARE_90_100</x:v>
      </x:c>
      <x:c r="E174" s="52" t="n">
        <x:v>0.4466971338641937</x:v>
      </x:c>
      <x:c r="F174" s="52" t="n">
        <x:v>0.08225108864629818</x:v>
      </x:c>
      <x:c r="G174" s="52" t="n">
        <x:v>0.27213176936595346</x:v>
      </x:c>
      <x:c r="H174" s="54" t="n">
        <x:v>0.9870417499999999</x:v>
      </x:c>
      <x:c r="I174" s="53" t="b">
        <x:v>0</x:v>
      </x:c>
    </x:row>
    <x:row r="175" ht="23" customHeight="1">
      <x:c r="C175" s="52" t="str">
        <x:v>S_CORRIDOR_DISRUPTION</x:v>
      </x:c>
      <x:c r="D175" s="52" t="str">
        <x:v>P_SOFTWARE_95_100</x:v>
      </x:c>
      <x:c r="E175" s="52" t="n">
        <x:v>0.4466971338641937</x:v>
      </x:c>
      <x:c r="F175" s="52" t="n">
        <x:v>0.08225108864629818</x:v>
      </x:c>
      <x:c r="G175" s="52" t="n">
        <x:v>0.27213176936595346</x:v>
      </x:c>
      <x:c r="H175" s="54" t="n">
        <x:v>0.9870417499999999</x:v>
      </x:c>
      <x:c r="I175" s="53" t="b">
        <x:v>0</x:v>
      </x:c>
    </x:row>
    <x:row r="176" ht="23" customHeight="1">
      <x:c r="C176" s="52" t="str">
        <x:v>S_CORRIDOR_DISRUPTION</x:v>
      </x:c>
      <x:c r="D176" s="52" t="str">
        <x:v>P_CURRENT</x:v>
      </x:c>
      <x:c r="E176" s="52" t="n">
        <x:v>0</x:v>
      </x:c>
      <x:c r="F176" s="52" t="n">
        <x:v>0</x:v>
      </x:c>
      <x:c r="G176" s="52" t="n">
        <x:v>0</x:v>
      </x:c>
      <x:c r="H176" s="54" t="n">
        <x:v>1</x:v>
      </x:c>
      <x:c r="I176" s="53" t="b">
        <x:v>0</x:v>
      </x:c>
    </x:row>
    <x:row r="177" ht="23" customHeight="1">
      <x:c r="C177" s="52" t="str">
        <x:v>S_CORRIDOR_DISRUPTION</x:v>
      </x:c>
      <x:c r="D177" s="52" t="str">
        <x:v>P_RULES_75_100</x:v>
      </x:c>
      <x:c r="E177" s="52" t="n">
        <x:v>0.33097374422196413</x:v>
      </x:c>
      <x:c r="F177" s="52" t="n">
        <x:v>0.10618412533830991</x:v>
      </x:c>
      <x:c r="G177" s="52" t="n">
        <x:v>0.13495667635403308</x:v>
      </x:c>
      <x:c r="H177" s="54" t="n">
        <x:v>0.9872958333333334</x:v>
      </x:c>
      <x:c r="I177" s="53" t="b">
        <x:v>0</x:v>
      </x:c>
    </x:row>
    <x:row r="178" ht="23" customHeight="1">
      <x:c r="C178" s="52" t="str">
        <x:v>S_CORRIDOR_DISRUPTION</x:v>
      </x:c>
      <x:c r="D178" s="52" t="str">
        <x:v>P_RULES_55_94</x:v>
      </x:c>
      <x:c r="E178" s="52" t="n">
        <x:v>0.3242429044489038</x:v>
      </x:c>
      <x:c r="F178" s="52" t="n">
        <x:v>0.09851900131149506</x:v>
      </x:c>
      <x:c r="G178" s="52" t="n">
        <x:v>0.13418018808210164</x:v>
      </x:c>
      <x:c r="H178" s="54" t="n">
        <x:v>0.9926839604166666</x:v>
      </x:c>
      <x:c r="I178" s="53" t="b">
        <x:v>0</x:v>
      </x:c>
    </x:row>
    <x:row r="179" ht="23" customHeight="1">
      <x:c r="C179" s="52" t="str">
        <x:v>S_CORRIDOR_DISRUPTION</x:v>
      </x:c>
      <x:c r="D179" s="52" t="str">
        <x:v>P_RULES_70_88</x:v>
      </x:c>
      <x:c r="E179" s="52" t="n">
        <x:v>0.14340969051602212</x:v>
      </x:c>
      <x:c r="F179" s="52" t="n">
        <x:v>0.03406364742829794</x:v>
      </x:c>
      <x:c r="G179" s="52" t="n">
        <x:v>0.0627462400882095</x:v>
      </x:c>
      <x:c r="H179" s="54" t="n">
        <x:v>1</x:v>
      </x:c>
      <x:c r="I179" s="53" t="b">
        <x:v>0</x:v>
      </x:c>
    </x:row>
    <x:row r="180" ht="23" customHeight="1">
      <x:c r="C180" s="52" t="str">
        <x:v>S_CORRIDOR_DISRUPTION</x:v>
      </x:c>
      <x:c r="D180" s="52" t="str">
        <x:v>P_SOFTWARE_60_94</x:v>
      </x:c>
      <x:c r="E180" s="52" t="n">
        <x:v>0.4357040940470823</x:v>
      </x:c>
      <x:c r="F180" s="52" t="n">
        <x:v>0.06687407703235551</x:v>
      </x:c>
      <x:c r="G180" s="52" t="n">
        <x:v>0.2739948099811306</x:v>
      </x:c>
      <x:c r="H180" s="54" t="n">
        <x:v>0.992537639625</x:v>
      </x:c>
      <x:c r="I180" s="53" t="b">
        <x:v>0</x:v>
      </x:c>
    </x:row>
    <x:row r="181" ht="23" customHeight="1">
      <x:c r="C181" s="52" t="str">
        <x:v>S_CORRIDOR_DISRUPTION</x:v>
      </x:c>
      <x:c r="D181" s="52" t="str">
        <x:v>P_SOFTWARE_70_88</x:v>
      </x:c>
      <x:c r="E181" s="52" t="n">
        <x:v>0.26894207560948075</x:v>
      </x:c>
      <x:c r="F181" s="52" t="n">
        <x:v>0.009750791585211548</x:v>
      </x:c>
      <x:c r="G181" s="52" t="n">
        <x:v>0.20861916938972896</x:v>
      </x:c>
      <x:c r="H181" s="54" t="n">
        <x:v>1</x:v>
      </x:c>
      <x:c r="I181" s="53" t="b">
        <x:v>0</x:v>
      </x:c>
    </x:row>
    <x:row r="182" ht="23" customHeight="1">
      <x:c r="C182" s="52" t="str">
        <x:v>S_CORRIDOR_DISRUPTION</x:v>
      </x:c>
      <x:c r="D182" s="52" t="str">
        <x:v>P_TARGETED_75_100</x:v>
      </x:c>
      <x:c r="E182" s="52" t="n">
        <x:v>-0.35817257011509074</x:v>
      </x:c>
      <x:c r="F182" s="52" t="n">
        <x:v>-0.1251636043490741</x:v>
      </x:c>
      <x:c r="G182" s="52" t="n">
        <x:v>0.1899738742021714</x:v>
      </x:c>
      <x:c r="H182" s="54" t="n">
        <x:v>0.9972943786310821</x:v>
      </x:c>
      <x:c r="I182" s="53" t="b">
        <x:v>0</x:v>
      </x:c>
    </x:row>
    <x:row r="183" ht="23" customHeight="1">
      <x:c r="C183" s="52" t="str">
        <x:v>S_CORRIDOR_DISRUPTION</x:v>
      </x:c>
      <x:c r="D183" s="52" t="str">
        <x:v>P_TARGETED_75_94</x:v>
      </x:c>
      <x:c r="E183" s="52" t="n">
        <x:v>-0.3373449425269579</x:v>
      </x:c>
      <x:c r="F183" s="52" t="n">
        <x:v>-0.11776360286633077</x:v>
      </x:c>
      <x:c r="G183" s="52" t="n">
        <x:v>0.19371814573425997</x:v>
      </x:c>
      <x:c r="H183" s="54" t="n">
        <x:v>0.9998346069999999</x:v>
      </x:c>
      <x:c r="I183" s="53" t="b">
        <x:v>0</x:v>
      </x:c>
    </x:row>
    <x:row r="184" ht="23" customHeight="1">
      <x:c r="C184" s="52" t="str">
        <x:v>S_CORRIDOR_DISRUPTION</x:v>
      </x:c>
      <x:c r="D184" s="52" t="str">
        <x:v>P_LARGE_85_100</x:v>
      </x:c>
      <x:c r="E184" s="52" t="n">
        <x:v>-4.205203063937497</x:v>
      </x:c>
      <x:c r="F184" s="52" t="n">
        <x:v>-0.6292280501018662</x:v>
      </x:c>
      <x:c r="G184" s="52" t="n">
        <x:v>-0.6754589897430644</x:v>
      </x:c>
      <x:c r="H184" s="54" t="n">
        <x:v>1</x:v>
      </x:c>
      <x:c r="I184" s="53" t="b">
        <x:v>0</x:v>
      </x:c>
    </x:row>
    <x:row r="185" ht="23" customHeight="1">
      <x:c r="C185" s="52" t="str">
        <x:v>S_WEAK_PRODUCTIVITY</x:v>
      </x:c>
      <x:c r="D185" s="52" t="str">
        <x:v>P_SOFTWARE_75_100</x:v>
      </x:c>
      <x:c r="E185" s="52" t="n">
        <x:v>0.2956071299886562</x:v>
      </x:c>
      <x:c r="F185" s="52" t="n">
        <x:v>0.03913095188390827</x:v>
      </x:c>
      <x:c r="G185" s="52" t="n">
        <x:v>0.20875253102872676</x:v>
      </x:c>
      <x:c r="H185" s="54" t="n">
        <x:v>0.99325</x:v>
      </x:c>
      <x:c r="I185" s="53" t="b">
        <x:v>0</x:v>
      </x:c>
    </x:row>
    <x:row r="186" ht="23" customHeight="1">
      <x:c r="C186" s="52" t="str">
        <x:v>S_WEAK_PRODUCTIVITY</x:v>
      </x:c>
      <x:c r="D186" s="52" t="str">
        <x:v>P_SOFTWARE_80_100</x:v>
      </x:c>
      <x:c r="E186" s="52" t="n">
        <x:v>0.2956071299886562</x:v>
      </x:c>
      <x:c r="F186" s="52" t="n">
        <x:v>0.03913095188390827</x:v>
      </x:c>
      <x:c r="G186" s="52" t="n">
        <x:v>0.20875253102872676</x:v>
      </x:c>
      <x:c r="H186" s="54" t="n">
        <x:v>0.99325</x:v>
      </x:c>
      <x:c r="I186" s="53" t="b">
        <x:v>0</x:v>
      </x:c>
    </x:row>
    <x:row r="187" ht="23" customHeight="1">
      <x:c r="C187" s="52" t="str">
        <x:v>S_WEAK_PRODUCTIVITY</x:v>
      </x:c>
      <x:c r="D187" s="52" t="str">
        <x:v>P_SOFTWARE_85_100</x:v>
      </x:c>
      <x:c r="E187" s="52" t="n">
        <x:v>0.2956071299886562</x:v>
      </x:c>
      <x:c r="F187" s="52" t="n">
        <x:v>0.03913095188390827</x:v>
      </x:c>
      <x:c r="G187" s="52" t="n">
        <x:v>0.20875253102872676</x:v>
      </x:c>
      <x:c r="H187" s="54" t="n">
        <x:v>0.99325</x:v>
      </x:c>
      <x:c r="I187" s="53" t="b">
        <x:v>0</x:v>
      </x:c>
    </x:row>
    <x:row r="188" ht="23" customHeight="1">
      <x:c r="C188" s="52" t="str">
        <x:v>S_WEAK_PRODUCTIVITY</x:v>
      </x:c>
      <x:c r="D188" s="52" t="str">
        <x:v>P_SOFTWARE_90_100</x:v>
      </x:c>
      <x:c r="E188" s="52" t="n">
        <x:v>0.2956071299886562</x:v>
      </x:c>
      <x:c r="F188" s="52" t="n">
        <x:v>0.03913095188390827</x:v>
      </x:c>
      <x:c r="G188" s="52" t="n">
        <x:v>0.20875253102872676</x:v>
      </x:c>
      <x:c r="H188" s="54" t="n">
        <x:v>0.99325</x:v>
      </x:c>
      <x:c r="I188" s="53" t="b">
        <x:v>0</x:v>
      </x:c>
    </x:row>
    <x:row r="189" ht="23" customHeight="1">
      <x:c r="C189" s="52" t="str">
        <x:v>S_WEAK_PRODUCTIVITY</x:v>
      </x:c>
      <x:c r="D189" s="52" t="str">
        <x:v>P_SOFTWARE_95_100</x:v>
      </x:c>
      <x:c r="E189" s="52" t="n">
        <x:v>0.2956071299886562</x:v>
      </x:c>
      <x:c r="F189" s="52" t="n">
        <x:v>0.03913095188390827</x:v>
      </x:c>
      <x:c r="G189" s="52" t="n">
        <x:v>0.20875253102872676</x:v>
      </x:c>
      <x:c r="H189" s="54" t="n">
        <x:v>0.99325</x:v>
      </x:c>
      <x:c r="I189" s="53" t="b">
        <x:v>0</x:v>
      </x:c>
    </x:row>
    <x:row r="190" ht="23" customHeight="1">
      <x:c r="C190" s="52" t="str">
        <x:v>S_WEAK_PRODUCTIVITY</x:v>
      </x:c>
      <x:c r="D190" s="52" t="str">
        <x:v>P_CURRENT</x:v>
      </x:c>
      <x:c r="E190" s="52" t="n">
        <x:v>0</x:v>
      </x:c>
      <x:c r="F190" s="52" t="n">
        <x:v>0</x:v>
      </x:c>
      <x:c r="G190" s="52" t="n">
        <x:v>0</x:v>
      </x:c>
      <x:c r="H190" s="54" t="n">
        <x:v>1</x:v>
      </x:c>
      <x:c r="I190" s="53" t="b">
        <x:v>0</x:v>
      </x:c>
    </x:row>
    <x:row r="191" ht="23" customHeight="1">
      <x:c r="C191" s="52" t="str">
        <x:v>S_WEAK_PRODUCTIVITY</x:v>
      </x:c>
      <x:c r="D191" s="52" t="str">
        <x:v>P_RULES_75_100</x:v>
      </x:c>
      <x:c r="E191" s="52" t="n">
        <x:v>0.6906840145996209</x:v>
      </x:c>
      <x:c r="F191" s="52" t="n">
        <x:v>0.2139397455604778</x:v>
      </x:c>
      <x:c r="G191" s="52" t="n">
        <x:v>0.28436463490568187</x:v>
      </x:c>
      <x:c r="H191" s="54" t="n">
        <x:v>0.99325</x:v>
      </x:c>
      <x:c r="I191" s="53" t="b">
        <x:v>0</x:v>
      </x:c>
    </x:row>
    <x:row r="192" ht="23" customHeight="1">
      <x:c r="C192" s="52" t="str">
        <x:v>S_WEAK_PRODUCTIVITY</x:v>
      </x:c>
      <x:c r="D192" s="52" t="str">
        <x:v>P_RULES_55_94</x:v>
      </x:c>
      <x:c r="E192" s="52" t="n">
        <x:v>0.4304257318137322</x:v>
      </x:c>
      <x:c r="F192" s="52" t="n">
        <x:v>0.12549723299619997</x:v>
      </x:c>
      <x:c r="G192" s="52" t="n">
        <x:v>0.1800104689206421</x:v>
      </x:c>
      <x:c r="H192" s="54" t="n">
        <x:v>0.9986932000000001</x:v>
      </x:c>
      <x:c r="I192" s="53" t="b">
        <x:v>0</x:v>
      </x:c>
    </x:row>
    <x:row r="193" ht="23" customHeight="1">
      <x:c r="C193" s="52" t="str">
        <x:v>S_WEAK_PRODUCTIVITY</x:v>
      </x:c>
      <x:c r="D193" s="52" t="str">
        <x:v>P_RULES_70_88</x:v>
      </x:c>
      <x:c r="E193" s="52" t="n">
        <x:v>0.22278032838944678</x:v>
      </x:c>
      <x:c r="F193" s="52" t="n">
        <x:v>0.05841908758153437</x:v>
      </x:c>
      <x:c r="G193" s="52" t="n">
        <x:v>0.09550637657730121</x:v>
      </x:c>
      <x:c r="H193" s="54" t="n">
        <x:v>1</x:v>
      </x:c>
      <x:c r="I193" s="53" t="b">
        <x:v>0</x:v>
      </x:c>
    </x:row>
    <x:row r="194" ht="23" customHeight="1">
      <x:c r="C194" s="52" t="str">
        <x:v>S_WEAK_PRODUCTIVITY</x:v>
      </x:c>
      <x:c r="D194" s="52" t="str">
        <x:v>P_SOFTWARE_60_94</x:v>
      </x:c>
      <x:c r="E194" s="52" t="n">
        <x:v>0.1565435221402937</x:v>
      </x:c>
      <x:c r="F194" s="52" t="n">
        <x:v>-0.0012283422138818847</x:v>
      </x:c>
      <x:c r="G194" s="52" t="n">
        <x:v>0.15025845329794535</x:v>
      </x:c>
      <x:c r="H194" s="54" t="n">
        <x:v>0.9986932000000001</x:v>
      </x:c>
      <x:c r="I194" s="53" t="b">
        <x:v>0</x:v>
      </x:c>
    </x:row>
    <x:row r="195" ht="23" customHeight="1">
      <x:c r="C195" s="52" t="str">
        <x:v>S_WEAK_PRODUCTIVITY</x:v>
      </x:c>
      <x:c r="D195" s="52" t="str">
        <x:v>P_SOFTWARE_70_88</x:v>
      </x:c>
      <x:c r="E195" s="52" t="n">
        <x:v>-0.15260342241763192</x:v>
      </x:c>
      <x:c r="F195" s="52" t="n">
        <x:v>-0.07454928075044306</x:v>
      </x:c>
      <x:c r="G195" s="52" t="n">
        <x:v>0.019894272700346105</x:v>
      </x:c>
      <x:c r="H195" s="54" t="n">
        <x:v>1</x:v>
      </x:c>
      <x:c r="I195" s="53" t="b">
        <x:v>0</x:v>
      </x:c>
    </x:row>
    <x:row r="196" ht="23" customHeight="1">
      <x:c r="C196" s="52" t="str">
        <x:v>S_WEAK_PRODUCTIVITY</x:v>
      </x:c>
      <x:c r="D196" s="52" t="str">
        <x:v>P_TARGETED_75_100</x:v>
      </x:c>
      <x:c r="E196" s="52" t="n">
        <x:v>-0.5045802869454973</x:v>
      </x:c>
      <x:c r="F196" s="52" t="n">
        <x:v>-0.15399450136955434</x:v>
      </x:c>
      <x:c r="G196" s="52" t="n">
        <x:v>0.1221074658408671</x:v>
      </x:c>
      <x:c r="H196" s="54" t="n">
        <x:v>1</x:v>
      </x:c>
      <x:c r="I196" s="53" t="b">
        <x:v>0</x:v>
      </x:c>
    </x:row>
    <x:row r="197" ht="23" customHeight="1">
      <x:c r="C197" s="52" t="str">
        <x:v>S_WEAK_PRODUCTIVITY</x:v>
      </x:c>
      <x:c r="D197" s="52" t="str">
        <x:v>P_TARGETED_75_94</x:v>
      </x:c>
      <x:c r="E197" s="52" t="n">
        <x:v>-0.5322829682838119</x:v>
      </x:c>
      <x:c r="F197" s="52" t="n">
        <x:v>-0.16749094301280604</x:v>
      </x:c>
      <x:c r="G197" s="52" t="n">
        <x:v>0.12264640774649851</x:v>
      </x:c>
      <x:c r="H197" s="54" t="n">
        <x:v>1</x:v>
      </x:c>
      <x:c r="I197" s="53" t="b">
        <x:v>0</x:v>
      </x:c>
    </x:row>
    <x:row r="198" ht="23" customHeight="1">
      <x:c r="C198" s="52" t="str">
        <x:v>S_WEAK_PRODUCTIVITY</x:v>
      </x:c>
      <x:c r="D198" s="52" t="str">
        <x:v>P_LARGE_85_100</x:v>
      </x:c>
      <x:c r="E198" s="52" t="n">
        <x:v>-3.596764432996519</x:v>
      </x:c>
      <x:c r="F198" s="52" t="n">
        <x:v>-0.6120702449202479</x:v>
      </x:c>
      <x:c r="G198" s="52" t="n">
        <x:v>-0.31939642267257995</x:v>
      </x:c>
      <x:c r="H198" s="54" t="n">
        <x:v>1</x:v>
      </x:c>
      <x:c r="I198" s="53" t="b">
        <x:v>0</x:v>
      </x:c>
    </x:row>
    <x:row r="199" ht="23" customHeight="1">
      <x:c r="C199" s="52" t="str">
        <x:v>S_IMPLEMENTATION_OVERRUN</x:v>
      </x:c>
      <x:c r="D199" s="52" t="str">
        <x:v>P_SOFTWARE_75_100</x:v>
      </x:c>
      <x:c r="E199" s="52" t="n">
        <x:v>0.5285773875863513</x:v>
      </x:c>
      <x:c r="F199" s="52" t="n">
        <x:v>0.09348069861775488</x:v>
      </x:c>
      <x:c r="G199" s="52" t="n">
        <x:v>0.3537034784848088</x:v>
      </x:c>
      <x:c r="H199" s="54" t="n">
        <x:v>0.9940067613228918</x:v>
      </x:c>
      <x:c r="I199" s="53" t="b">
        <x:v>0</x:v>
      </x:c>
    </x:row>
    <x:row r="200" ht="23" customHeight="1">
      <x:c r="C200" s="52" t="str">
        <x:v>S_IMPLEMENTATION_OVERRUN</x:v>
      </x:c>
      <x:c r="D200" s="52" t="str">
        <x:v>P_SOFTWARE_80_100</x:v>
      </x:c>
      <x:c r="E200" s="52" t="n">
        <x:v>0.5285773875863513</x:v>
      </x:c>
      <x:c r="F200" s="52" t="n">
        <x:v>0.09348069861775488</x:v>
      </x:c>
      <x:c r="G200" s="52" t="n">
        <x:v>0.3537034784848088</x:v>
      </x:c>
      <x:c r="H200" s="54" t="n">
        <x:v>0.9940067613228918</x:v>
      </x:c>
      <x:c r="I200" s="53" t="b">
        <x:v>0</x:v>
      </x:c>
    </x:row>
    <x:row r="201" ht="23" customHeight="1">
      <x:c r="C201" s="52" t="str">
        <x:v>S_IMPLEMENTATION_OVERRUN</x:v>
      </x:c>
      <x:c r="D201" s="52" t="str">
        <x:v>P_SOFTWARE_85_100</x:v>
      </x:c>
      <x:c r="E201" s="52" t="n">
        <x:v>0.5285773875863513</x:v>
      </x:c>
      <x:c r="F201" s="52" t="n">
        <x:v>0.09348069861775488</x:v>
      </x:c>
      <x:c r="G201" s="52" t="n">
        <x:v>0.3537034784848088</x:v>
      </x:c>
      <x:c r="H201" s="54" t="n">
        <x:v>0.9940067613228918</x:v>
      </x:c>
      <x:c r="I201" s="53" t="b">
        <x:v>0</x:v>
      </x:c>
    </x:row>
    <x:row r="202" ht="23" customHeight="1">
      <x:c r="C202" s="52" t="str">
        <x:v>S_IMPLEMENTATION_OVERRUN</x:v>
      </x:c>
      <x:c r="D202" s="52" t="str">
        <x:v>P_SOFTWARE_90_100</x:v>
      </x:c>
      <x:c r="E202" s="52" t="n">
        <x:v>0.5285773875863513</x:v>
      </x:c>
      <x:c r="F202" s="52" t="n">
        <x:v>0.09348069861775488</x:v>
      </x:c>
      <x:c r="G202" s="52" t="n">
        <x:v>0.3537034784848088</x:v>
      </x:c>
      <x:c r="H202" s="54" t="n">
        <x:v>0.9940067613228918</x:v>
      </x:c>
      <x:c r="I202" s="53" t="b">
        <x:v>0</x:v>
      </x:c>
    </x:row>
    <x:row r="203" ht="23" customHeight="1">
      <x:c r="C203" s="52" t="str">
        <x:v>S_IMPLEMENTATION_OVERRUN</x:v>
      </x:c>
      <x:c r="D203" s="52" t="str">
        <x:v>P_SOFTWARE_95_100</x:v>
      </x:c>
      <x:c r="E203" s="52" t="n">
        <x:v>0.5285773875863513</x:v>
      </x:c>
      <x:c r="F203" s="52" t="n">
        <x:v>0.09348069861775488</x:v>
      </x:c>
      <x:c r="G203" s="52" t="n">
        <x:v>0.3537034784848088</x:v>
      </x:c>
      <x:c r="H203" s="54" t="n">
        <x:v>0.9940067613228918</x:v>
      </x:c>
      <x:c r="I203" s="53" t="b">
        <x:v>0</x:v>
      </x:c>
    </x:row>
    <x:row r="204" ht="23" customHeight="1">
      <x:c r="C204" s="52" t="str">
        <x:v>S_IMPLEMENTATION_OVERRUN</x:v>
      </x:c>
      <x:c r="D204" s="52" t="str">
        <x:v>P_CURRENT</x:v>
      </x:c>
      <x:c r="E204" s="52" t="n">
        <x:v>0</x:v>
      </x:c>
      <x:c r="F204" s="52" t="n">
        <x:v>0</x:v>
      </x:c>
      <x:c r="G204" s="52" t="n">
        <x:v>0</x:v>
      </x:c>
      <x:c r="H204" s="54" t="n">
        <x:v>1</x:v>
      </x:c>
      <x:c r="I204" s="53" t="b">
        <x:v>0</x:v>
      </x:c>
    </x:row>
    <x:row r="205" ht="23" customHeight="1">
      <x:c r="C205" s="52" t="str">
        <x:v>S_IMPLEMENTATION_OVERRUN</x:v>
      </x:c>
      <x:c r="D205" s="52" t="str">
        <x:v>P_RULES_75_100</x:v>
      </x:c>
      <x:c r="E205" s="52" t="n">
        <x:v>0.812046595114882</x:v>
      </x:c>
      <x:c r="F205" s="52" t="n">
        <x:v>0.25131224001220165</x:v>
      </x:c>
      <x:c r="G205" s="52" t="n">
        <x:v>0.3344098793635091</x:v>
      </x:c>
      <x:c r="H205" s="54" t="n">
        <x:v>0.9877890985343992</x:v>
      </x:c>
      <x:c r="I205" s="53" t="b">
        <x:v>0</x:v>
      </x:c>
    </x:row>
    <x:row r="206" ht="23" customHeight="1">
      <x:c r="C206" s="52" t="str">
        <x:v>S_IMPLEMENTATION_OVERRUN</x:v>
      </x:c>
      <x:c r="D206" s="52" t="str">
        <x:v>P_RULES_55_94</x:v>
      </x:c>
      <x:c r="E206" s="52" t="n">
        <x:v>0.5381773753268704</x:v>
      </x:c>
      <x:c r="F206" s="52" t="n">
        <x:v>0.15420205498365028</x:v>
      </x:c>
      <x:c r="G206" s="52" t="n">
        <x:v>0.22604317574424115</x:v>
      </x:c>
      <x:c r="H206" s="54" t="n">
        <x:v>0.996962068</x:v>
      </x:c>
      <x:c r="I206" s="53" t="b">
        <x:v>0</x:v>
      </x:c>
    </x:row>
    <x:row r="207" ht="23" customHeight="1">
      <x:c r="C207" s="52" t="str">
        <x:v>S_IMPLEMENTATION_OVERRUN</x:v>
      </x:c>
      <x:c r="D207" s="52" t="str">
        <x:v>P_RULES_70_88</x:v>
      </x:c>
      <x:c r="E207" s="52" t="n">
        <x:v>0.2842286043340768</x:v>
      </x:c>
      <x:c r="F207" s="52" t="n">
        <x:v>0.07143171265668705</x:v>
      </x:c>
      <x:c r="G207" s="52" t="n">
        <x:v>0.12295777575653588</x:v>
      </x:c>
      <x:c r="H207" s="54" t="n">
        <x:v>1</x:v>
      </x:c>
      <x:c r="I207" s="53" t="b">
        <x:v>0</x:v>
      </x:c>
    </x:row>
    <x:row r="208" ht="23" customHeight="1">
      <x:c r="C208" s="52" t="str">
        <x:v>S_IMPLEMENTATION_OVERRUN</x:v>
      </x:c>
      <x:c r="D208" s="52" t="str">
        <x:v>P_SOFTWARE_60_94</x:v>
      </x:c>
      <x:c r="E208" s="52" t="n">
        <x:v>0.4420428003449005</x:v>
      </x:c>
      <x:c r="F208" s="52" t="n">
        <x:v>0.0446372837110346</x:v>
      </x:c>
      <x:c r="G208" s="52" t="n">
        <x:v>0.3260716653197007</x:v>
      </x:c>
      <x:c r="H208" s="54" t="n">
        <x:v>0.9976029811435376</x:v>
      </x:c>
      <x:c r="I208" s="53" t="b">
        <x:v>0</x:v>
      </x:c>
    </x:row>
    <x:row r="209" ht="23" customHeight="1">
      <x:c r="C209" s="52" t="str">
        <x:v>S_IMPLEMENTATION_OVERRUN</x:v>
      </x:c>
      <x:c r="D209" s="52" t="str">
        <x:v>P_SOFTWARE_70_88</x:v>
      </x:c>
      <x:c r="E209" s="52" t="n">
        <x:v>0.06612716602927886</x:v>
      </x:c>
      <x:c r="F209" s="52" t="n">
        <x:v>-0.05001948242760645</x:v>
      </x:c>
      <x:c r="G209" s="52" t="n">
        <x:v>0.1657553111810393</x:v>
      </x:c>
      <x:c r="H209" s="54" t="n">
        <x:v>1</x:v>
      </x:c>
      <x:c r="I209" s="53" t="b">
        <x:v>0</x:v>
      </x:c>
    </x:row>
    <x:row r="210" ht="23" customHeight="1">
      <x:c r="C210" s="52" t="str">
        <x:v>S_IMPLEMENTATION_OVERRUN</x:v>
      </x:c>
      <x:c r="D210" s="52" t="str">
        <x:v>P_TARGETED_75_100</x:v>
      </x:c>
      <x:c r="E210" s="52" t="n">
        <x:v>-0.5871976311307636</x:v>
      </x:c>
      <x:c r="F210" s="52" t="n">
        <x:v>-0.19136346874498159</x:v>
      </x:c>
      <x:c r="G210" s="52" t="n">
        <x:v>0.30323197201216584</x:v>
      </x:c>
      <x:c r="H210" s="54" t="n">
        <x:v>0.9996902166690919</x:v>
      </x:c>
      <x:c r="I210" s="53" t="b">
        <x:v>0</x:v>
      </x:c>
    </x:row>
    <x:row r="211" ht="23" customHeight="1">
      <x:c r="C211" s="52" t="str">
        <x:v>S_IMPLEMENTATION_OVERRUN</x:v>
      </x:c>
      <x:c r="D211" s="52" t="str">
        <x:v>P_TARGETED_75_94</x:v>
      </x:c>
      <x:c r="E211" s="52" t="n">
        <x:v>-0.5972861102942377</x:v>
      </x:c>
      <x:c r="F211" s="52" t="n">
        <x:v>-0.20886030339753617</x:v>
      </x:c>
      <x:c r="G211" s="52" t="n">
        <x:v>0.30678107341740696</x:v>
      </x:c>
      <x:c r="H211" s="54" t="n">
        <x:v>1</x:v>
      </x:c>
      <x:c r="I211" s="53" t="b">
        <x:v>0</x:v>
      </x:c>
    </x:row>
    <x:row r="212" ht="23" customHeight="1">
      <x:c r="C212" s="52" t="str">
        <x:v>S_IMPLEMENTATION_OVERRUN</x:v>
      </x:c>
      <x:c r="D212" s="52" t="str">
        <x:v>P_LARGE_85_100</x:v>
      </x:c>
      <x:c r="E212" s="52" t="n">
        <x:v>-5.38947277755812</x:v>
      </x:c>
      <x:c r="F212" s="52" t="n">
        <x:v>-0.8739667638238731</x:v>
      </x:c>
      <x:c r="G212" s="52" t="n">
        <x:v>-0.4468717267988377</x:v>
      </x:c>
      <x:c r="H212" s="54" t="n">
        <x:v>1</x:v>
      </x:c>
      <x:c r="I212" s="53" t="b">
        <x:v>0</x:v>
      </x:c>
    </x:row>
    <x:row r="213" ht="23" customHeight="1">
      <x:c r="C213" s="52" t="str">
        <x:v>S_CARRIER_PRICE_UP</x:v>
      </x:c>
      <x:c r="D213" s="52" t="str">
        <x:v>P_SOFTWARE_75_100</x:v>
      </x:c>
      <x:c r="E213" s="52" t="n">
        <x:v>2.341176719704109</x:v>
      </x:c>
      <x:c r="F213" s="52" t="n">
        <x:v>0.5786201419313914</x:v>
      </x:c>
      <x:c r="G213" s="52" t="n">
        <x:v>1.0943024525366112</x:v>
      </x:c>
      <x:c r="H213" s="54" t="n">
        <x:v>0.9649406875</x:v>
      </x:c>
      <x:c r="I213" s="53" t="b">
        <x:v>0</x:v>
      </x:c>
    </x:row>
    <x:row r="214" ht="23" customHeight="1">
      <x:c r="C214" s="52" t="str">
        <x:v>S_CARRIER_PRICE_UP</x:v>
      </x:c>
      <x:c r="D214" s="52" t="str">
        <x:v>P_SOFTWARE_80_100</x:v>
      </x:c>
      <x:c r="E214" s="52" t="n">
        <x:v>2.341176719704109</x:v>
      </x:c>
      <x:c r="F214" s="52" t="n">
        <x:v>0.5786201419313914</x:v>
      </x:c>
      <x:c r="G214" s="52" t="n">
        <x:v>1.0943024525366112</x:v>
      </x:c>
      <x:c r="H214" s="54" t="n">
        <x:v>0.9649406875</x:v>
      </x:c>
      <x:c r="I214" s="53" t="b">
        <x:v>0</x:v>
      </x:c>
    </x:row>
    <x:row r="215" ht="23" customHeight="1">
      <x:c r="C215" s="52" t="str">
        <x:v>S_CARRIER_PRICE_UP</x:v>
      </x:c>
      <x:c r="D215" s="52" t="str">
        <x:v>P_SOFTWARE_85_100</x:v>
      </x:c>
      <x:c r="E215" s="52" t="n">
        <x:v>2.341176719704109</x:v>
      </x:c>
      <x:c r="F215" s="52" t="n">
        <x:v>0.5786201419313914</x:v>
      </x:c>
      <x:c r="G215" s="52" t="n">
        <x:v>1.0943024525366112</x:v>
      </x:c>
      <x:c r="H215" s="54" t="n">
        <x:v>0.9649406875</x:v>
      </x:c>
      <x:c r="I215" s="53" t="b">
        <x:v>0</x:v>
      </x:c>
    </x:row>
    <x:row r="216" ht="23" customHeight="1">
      <x:c r="C216" s="52" t="str">
        <x:v>S_CARRIER_PRICE_UP</x:v>
      </x:c>
      <x:c r="D216" s="52" t="str">
        <x:v>P_SOFTWARE_90_100</x:v>
      </x:c>
      <x:c r="E216" s="52" t="n">
        <x:v>2.341176719704109</x:v>
      </x:c>
      <x:c r="F216" s="52" t="n">
        <x:v>0.5786201419313914</x:v>
      </x:c>
      <x:c r="G216" s="52" t="n">
        <x:v>1.0943024525366112</x:v>
      </x:c>
      <x:c r="H216" s="54" t="n">
        <x:v>0.9649406875</x:v>
      </x:c>
      <x:c r="I216" s="53" t="b">
        <x:v>0</x:v>
      </x:c>
    </x:row>
    <x:row r="217" ht="23" customHeight="1">
      <x:c r="C217" s="52" t="str">
        <x:v>S_CARRIER_PRICE_UP</x:v>
      </x:c>
      <x:c r="D217" s="52" t="str">
        <x:v>P_SOFTWARE_95_100</x:v>
      </x:c>
      <x:c r="E217" s="52" t="n">
        <x:v>2.341176719704109</x:v>
      </x:c>
      <x:c r="F217" s="52" t="n">
        <x:v>0.5786201419313914</x:v>
      </x:c>
      <x:c r="G217" s="52" t="n">
        <x:v>1.0943024525366112</x:v>
      </x:c>
      <x:c r="H217" s="54" t="n">
        <x:v>0.9649406875</x:v>
      </x:c>
      <x:c r="I217" s="53" t="b">
        <x:v>0</x:v>
      </x:c>
    </x:row>
    <x:row r="218" ht="23" customHeight="1">
      <x:c r="C218" s="52" t="str">
        <x:v>S_CARRIER_PRICE_UP</x:v>
      </x:c>
      <x:c r="D218" s="52" t="str">
        <x:v>P_CURRENT</x:v>
      </x:c>
      <x:c r="E218" s="52" t="n">
        <x:v>0</x:v>
      </x:c>
      <x:c r="F218" s="52" t="n">
        <x:v>0</x:v>
      </x:c>
      <x:c r="G218" s="52" t="n">
        <x:v>0</x:v>
      </x:c>
      <x:c r="H218" s="54" t="n">
        <x:v>1</x:v>
      </x:c>
      <x:c r="I218" s="53" t="b">
        <x:v>0</x:v>
      </x:c>
    </x:row>
    <x:row r="219" ht="23" customHeight="1">
      <x:c r="C219" s="52" t="str">
        <x:v>S_CARRIER_PRICE_UP</x:v>
      </x:c>
      <x:c r="D219" s="52" t="str">
        <x:v>P_RULES_75_100</x:v>
      </x:c>
      <x:c r="E219" s="52" t="n">
        <x:v>2.197055766785276</x:v>
      </x:c>
      <x:c r="F219" s="52" t="n">
        <x:v>0.7447051037877982</x:v>
      </x:c>
      <x:c r="G219" s="52" t="n">
        <x:v>0.8816232109185762</x:v>
      </x:c>
      <x:c r="H219" s="54" t="n">
        <x:v>0.9656281250000001</x:v>
      </x:c>
      <x:c r="I219" s="53" t="b">
        <x:v>0</x:v>
      </x:c>
    </x:row>
    <x:row r="220" ht="23" customHeight="1">
      <x:c r="C220" s="52" t="str">
        <x:v>S_CARRIER_PRICE_UP</x:v>
      </x:c>
      <x:c r="D220" s="52" t="str">
        <x:v>P_RULES_55_94</x:v>
      </x:c>
      <x:c r="E220" s="52" t="n">
        <x:v>1.3649523596817255</x:v>
      </x:c>
      <x:c r="F220" s="52" t="n">
        <x:v>0.42804035684247366</x:v>
      </x:c>
      <x:c r="G220" s="52" t="n">
        <x:v>0.5600956144945073</x:v>
      </x:c>
      <x:c r="H220" s="54" t="n">
        <x:v>0.9926839604166666</x:v>
      </x:c>
      <x:c r="I220" s="53" t="b">
        <x:v>0</x:v>
      </x:c>
    </x:row>
    <x:row r="221" ht="23" customHeight="1">
      <x:c r="C221" s="52" t="str">
        <x:v>S_CARRIER_PRICE_UP</x:v>
      </x:c>
      <x:c r="D221" s="52" t="str">
        <x:v>P_RULES_70_88</x:v>
      </x:c>
      <x:c r="E221" s="52" t="n">
        <x:v>0.922791915147865</x:v>
      </x:c>
      <x:c r="F221" s="52" t="n">
        <x:v>0.28454973339734535</x:v>
      </x:c>
      <x:c r="G221" s="52" t="n">
        <x:v>0.38038635892689854</x:v>
      </x:c>
      <x:c r="H221" s="54" t="n">
        <x:v>1</x:v>
      </x:c>
      <x:c r="I221" s="53" t="b">
        <x:v>0</x:v>
      </x:c>
    </x:row>
    <x:row r="222" ht="23" customHeight="1">
      <x:c r="C222" s="52" t="str">
        <x:v>S_CARRIER_PRICE_UP</x:v>
      </x:c>
      <x:c r="D222" s="52" t="str">
        <x:v>P_SOFTWARE_60_94</x:v>
      </x:c>
      <x:c r="E222" s="52" t="n">
        <x:v>1.9317709735699176</x:v>
      </x:c>
      <x:c r="F222" s="52" t="n">
        <x:v>0.41642675419960495</x:v>
      </x:c>
      <x:c r="G222" s="52" t="n">
        <x:v>0.9455209546527157</x:v>
      </x:c>
      <x:c r="H222" s="54" t="n">
        <x:v>0.9861886857500001</x:v>
      </x:c>
      <x:c r="I222" s="53" t="b">
        <x:v>0</x:v>
      </x:c>
    </x:row>
    <x:row r="223" ht="23" customHeight="1">
      <x:c r="C223" s="52" t="str">
        <x:v>S_CARRIER_PRICE_UP</x:v>
      </x:c>
      <x:c r="D223" s="52" t="str">
        <x:v>P_SOFTWARE_70_88</x:v>
      </x:c>
      <x:c r="E223" s="52" t="n">
        <x:v>1.1257979964117053</x:v>
      </x:c>
      <x:c r="F223" s="52" t="n">
        <x:v>0.19192434461470811</x:v>
      </x:c>
      <x:c r="G223" s="52" t="n">
        <x:v>0.6035496098955995</x:v>
      </x:c>
      <x:c r="H223" s="54" t="n">
        <x:v>1</x:v>
      </x:c>
      <x:c r="I223" s="53" t="b">
        <x:v>0</x:v>
      </x:c>
    </x:row>
    <x:row r="224" ht="23" customHeight="1">
      <x:c r="C224" s="52" t="str">
        <x:v>S_CARRIER_PRICE_UP</x:v>
      </x:c>
      <x:c r="D224" s="52" t="str">
        <x:v>P_TARGETED_75_100</x:v>
      </x:c>
      <x:c r="E224" s="52" t="n">
        <x:v>2.4451898432480927</x:v>
      </x:c>
      <x:c r="F224" s="52" t="n">
        <x:v>0.32212326016813936</x:v>
      </x:c>
      <x:c r="G224" s="52" t="n">
        <x:v>1.5424492599595052</x:v>
      </x:c>
      <x:c r="H224" s="54" t="n">
        <x:v>0.9792709138071896</x:v>
      </x:c>
      <x:c r="I224" s="53" t="b">
        <x:v>0</x:v>
      </x:c>
    </x:row>
    <x:row r="225" ht="23" customHeight="1">
      <x:c r="C225" s="52" t="str">
        <x:v>S_CARRIER_PRICE_UP</x:v>
      </x:c>
      <x:c r="D225" s="52" t="str">
        <x:v>P_TARGETED_75_94</x:v>
      </x:c>
      <x:c r="E225" s="52" t="n">
        <x:v>2.283562244373092</x:v>
      </x:c>
      <x:c r="F225" s="52" t="n">
        <x:v>0.1904813677502148</x:v>
      </x:c>
      <x:c r="G225" s="52" t="n">
        <x:v>1.5219618543887539</x:v>
      </x:c>
      <x:c r="H225" s="54" t="n">
        <x:v>0.98400262175</x:v>
      </x:c>
      <x:c r="I225" s="53" t="b">
        <x:v>0</x:v>
      </x:c>
    </x:row>
    <x:row r="226" ht="23" customHeight="1">
      <x:c r="C226" s="52" t="str">
        <x:v>S_CARRIER_PRICE_UP</x:v>
      </x:c>
      <x:c r="D226" s="52" t="str">
        <x:v>P_LARGE_85_100</x:v>
      </x:c>
      <x:c r="E226" s="52" t="n">
        <x:v>-0.34642799621768194</x:v>
      </x:c>
      <x:c r="F226" s="52" t="n">
        <x:v>-0.4157689127352323</x:v>
      </x:c>
      <x:c r="G226" s="52" t="n">
        <x:v>1.3308230456916155</x:v>
      </x:c>
      <x:c r="H226" s="54" t="n">
        <x:v>0.9991040723981901</x:v>
      </x:c>
      <x:c r="I226" s="53" t="b">
        <x:v>0</x:v>
      </x:c>
    </x:row>
    <x:row r="227" ht="23" customHeight="1">
      <x:c r="C227" s="52" t="str">
        <x:v>S_CARRIER_PRICE_CUT</x:v>
      </x:c>
      <x:c r="D227" s="52" t="str">
        <x:v>P_SOFTWARE_75_100</x:v>
      </x:c>
      <x:c r="E227" s="52" t="n">
        <x:v>0.232799813493604</x:v>
      </x:c>
      <x:c r="F227" s="52" t="n">
        <x:v>0.019592603926614348</x:v>
      </x:c>
      <x:c r="G227" s="52" t="n">
        <x:v>0.1823909831132417</x:v>
      </x:c>
      <x:c r="H227" s="54" t="n">
        <x:v>0.99499775</x:v>
      </x:c>
      <x:c r="I227" s="53" t="b">
        <x:v>0</x:v>
      </x:c>
    </x:row>
    <x:row r="228" ht="23" customHeight="1">
      <x:c r="C228" s="52" t="str">
        <x:v>S_CARRIER_PRICE_CUT</x:v>
      </x:c>
      <x:c r="D228" s="52" t="str">
        <x:v>P_SOFTWARE_80_100</x:v>
      </x:c>
      <x:c r="E228" s="52" t="n">
        <x:v>0.232799813493604</x:v>
      </x:c>
      <x:c r="F228" s="52" t="n">
        <x:v>0.019592603926614348</x:v>
      </x:c>
      <x:c r="G228" s="52" t="n">
        <x:v>0.1823909831132417</x:v>
      </x:c>
      <x:c r="H228" s="54" t="n">
        <x:v>0.99499775</x:v>
      </x:c>
      <x:c r="I228" s="53" t="b">
        <x:v>0</x:v>
      </x:c>
    </x:row>
    <x:row r="229" ht="23" customHeight="1">
      <x:c r="C229" s="52" t="str">
        <x:v>S_CARRIER_PRICE_CUT</x:v>
      </x:c>
      <x:c r="D229" s="52" t="str">
        <x:v>P_SOFTWARE_85_100</x:v>
      </x:c>
      <x:c r="E229" s="52" t="n">
        <x:v>0.232799813493604</x:v>
      </x:c>
      <x:c r="F229" s="52" t="n">
        <x:v>0.019592603926614348</x:v>
      </x:c>
      <x:c r="G229" s="52" t="n">
        <x:v>0.1823909831132417</x:v>
      </x:c>
      <x:c r="H229" s="54" t="n">
        <x:v>0.99499775</x:v>
      </x:c>
      <x:c r="I229" s="53" t="b">
        <x:v>0</x:v>
      </x:c>
    </x:row>
    <x:row r="230" ht="23" customHeight="1">
      <x:c r="C230" s="52" t="str">
        <x:v>S_CARRIER_PRICE_CUT</x:v>
      </x:c>
      <x:c r="D230" s="52" t="str">
        <x:v>P_SOFTWARE_90_100</x:v>
      </x:c>
      <x:c r="E230" s="52" t="n">
        <x:v>0.232799813493604</x:v>
      </x:c>
      <x:c r="F230" s="52" t="n">
        <x:v>0.019592603926614348</x:v>
      </x:c>
      <x:c r="G230" s="52" t="n">
        <x:v>0.1823909831132417</x:v>
      </x:c>
      <x:c r="H230" s="54" t="n">
        <x:v>0.99499775</x:v>
      </x:c>
      <x:c r="I230" s="53" t="b">
        <x:v>0</x:v>
      </x:c>
    </x:row>
    <x:row r="231" ht="23" customHeight="1">
      <x:c r="C231" s="52" t="str">
        <x:v>S_CARRIER_PRICE_CUT</x:v>
      </x:c>
      <x:c r="D231" s="52" t="str">
        <x:v>P_SOFTWARE_95_100</x:v>
      </x:c>
      <x:c r="E231" s="52" t="n">
        <x:v>0.232799813493604</x:v>
      </x:c>
      <x:c r="F231" s="52" t="n">
        <x:v>0.019592603926614348</x:v>
      </x:c>
      <x:c r="G231" s="52" t="n">
        <x:v>0.1823909831132417</x:v>
      </x:c>
      <x:c r="H231" s="54" t="n">
        <x:v>0.99499775</x:v>
      </x:c>
      <x:c r="I231" s="53" t="b">
        <x:v>0</x:v>
      </x:c>
    </x:row>
    <x:row r="232" ht="23" customHeight="1">
      <x:c r="C232" s="52" t="str">
        <x:v>S_CARRIER_PRICE_CUT</x:v>
      </x:c>
      <x:c r="D232" s="52" t="str">
        <x:v>P_CURRENT</x:v>
      </x:c>
      <x:c r="E232" s="52" t="n">
        <x:v>0</x:v>
      </x:c>
      <x:c r="F232" s="52" t="n">
        <x:v>0</x:v>
      </x:c>
      <x:c r="G232" s="52" t="n">
        <x:v>0</x:v>
      </x:c>
      <x:c r="H232" s="54" t="n">
        <x:v>1</x:v>
      </x:c>
      <x:c r="I232" s="53" t="b">
        <x:v>0</x:v>
      </x:c>
    </x:row>
    <x:row r="233" ht="23" customHeight="1">
      <x:c r="C233" s="52" t="str">
        <x:v>S_CARRIER_PRICE_CUT</x:v>
      </x:c>
      <x:c r="D233" s="52" t="str">
        <x:v>P_RULES_75_100</x:v>
      </x:c>
      <x:c r="E233" s="52" t="n">
        <x:v>0.1828552610162371</x:v>
      </x:c>
      <x:c r="F233" s="52" t="n">
        <x:v>0.05274106475112873</x:v>
      </x:c>
      <x:c r="G233" s="52" t="n">
        <x:v>0.07667769339229125</x:v>
      </x:c>
      <x:c r="H233" s="54" t="n">
        <x:v>0.9950958333333333</x:v>
      </x:c>
      <x:c r="I233" s="53" t="b">
        <x:v>0</x:v>
      </x:c>
    </x:row>
    <x:row r="234" ht="23" customHeight="1">
      <x:c r="C234" s="52" t="str">
        <x:v>S_CARRIER_PRICE_CUT</x:v>
      </x:c>
      <x:c r="D234" s="52" t="str">
        <x:v>P_RULES_55_94</x:v>
      </x:c>
      <x:c r="E234" s="52" t="n">
        <x:v>0.1890738672966478</x:v>
      </x:c>
      <x:c r="F234" s="52" t="n">
        <x:v>0.05587987882707125</x:v>
      </x:c>
      <x:c r="G234" s="52" t="n">
        <x:v>0.07880453257521935</x:v>
      </x:c>
      <x:c r="H234" s="54" t="n">
        <x:v>0.9926839604166666</x:v>
      </x:c>
      <x:c r="I234" s="53" t="b">
        <x:v>0</x:v>
      </x:c>
    </x:row>
    <x:row r="235" ht="23" customHeight="1">
      <x:c r="C235" s="52" t="str">
        <x:v>S_CARRIER_PRICE_CUT</x:v>
      </x:c>
      <x:c r="D235" s="52" t="str">
        <x:v>P_RULES_70_88</x:v>
      </x:c>
      <x:c r="E235" s="52" t="n">
        <x:v>0.08208839035647748</x:v>
      </x:c>
      <x:c r="F235" s="52" t="n">
        <x:v>0.014719932851740794</x:v>
      </x:c>
      <x:c r="G235" s="52" t="n">
        <x:v>0.03762426924811635</x:v>
      </x:c>
      <x:c r="H235" s="54" t="n">
        <x:v>1</x:v>
      </x:c>
      <x:c r="I235" s="53" t="b">
        <x:v>0</x:v>
      </x:c>
    </x:row>
    <x:row r="236" ht="23" customHeight="1">
      <x:c r="C236" s="52" t="str">
        <x:v>S_CARRIER_PRICE_CUT</x:v>
      </x:c>
      <x:c r="D236" s="52" t="str">
        <x:v>P_SOFTWARE_60_94</x:v>
      </x:c>
      <x:c r="E236" s="52" t="n">
        <x:v>0.2355024575172509</x:v>
      </x:c>
      <x:c r="F236" s="52" t="n">
        <x:v>0.023656135911042785</x:v>
      </x:c>
      <x:c r="G236" s="52" t="n">
        <x:v>0.1817562591807919</x:v>
      </x:c>
      <x:c r="H236" s="54" t="n">
        <x:v>0.992537639625</x:v>
      </x:c>
      <x:c r="I236" s="53" t="b">
        <x:v>0</x:v>
      </x:c>
    </x:row>
    <x:row r="237" ht="23" customHeight="1">
      <x:c r="C237" s="52" t="str">
        <x:v>S_CARRIER_PRICE_CUT</x:v>
      </x:c>
      <x:c r="D237" s="52" t="str">
        <x:v>P_SOFTWARE_70_88</x:v>
      </x:c>
      <x:c r="E237" s="52" t="n">
        <x:v>0.13612912272633954</x:v>
      </x:c>
      <x:c r="F237" s="52" t="n">
        <x:v>-0.01781856856150952</x:v>
      </x:c>
      <x:c r="G237" s="52" t="n">
        <x:v>0.1487938796181551</x:v>
      </x:c>
      <x:c r="H237" s="54" t="n">
        <x:v>1</x:v>
      </x:c>
      <x:c r="I237" s="53" t="b">
        <x:v>0</x:v>
      </x:c>
    </x:row>
    <x:row r="238" ht="23" customHeight="1">
      <x:c r="C238" s="52" t="str">
        <x:v>S_CARRIER_PRICE_CUT</x:v>
      </x:c>
      <x:c r="D238" s="52" t="str">
        <x:v>P_TARGETED_75_100</x:v>
      </x:c>
      <x:c r="E238" s="52" t="n">
        <x:v>-0.6655528614924064</x:v>
      </x:c>
      <x:c r="F238" s="52" t="n">
        <x:v>-0.17509934970583668</x:v>
      </x:c>
      <x:c r="G238" s="52" t="n">
        <x:v>0.04192149103759593</x:v>
      </x:c>
      <x:c r="H238" s="54" t="n">
        <x:v>1</x:v>
      </x:c>
      <x:c r="I238" s="53" t="b">
        <x:v>0</x:v>
      </x:c>
    </x:row>
    <x:row r="239" ht="23" customHeight="1">
      <x:c r="C239" s="52" t="str">
        <x:v>S_CARRIER_PRICE_CUT</x:v>
      </x:c>
      <x:c r="D239" s="52" t="str">
        <x:v>P_TARGETED_75_94</x:v>
      </x:c>
      <x:c r="E239" s="52" t="n">
        <x:v>-0.6722394295448842</x:v>
      </x:c>
      <x:c r="F239" s="52" t="n">
        <x:v>-0.17452548370499837</x:v>
      </x:c>
      <x:c r="G239" s="52" t="n">
        <x:v>0.03905881878509479</x:v>
      </x:c>
      <x:c r="H239" s="54" t="n">
        <x:v>1</x:v>
      </x:c>
      <x:c r="I239" s="53" t="b">
        <x:v>0</x:v>
      </x:c>
    </x:row>
    <x:row r="240" ht="23" customHeight="1">
      <x:c r="C240" s="52" t="str">
        <x:v>S_CARRIER_PRICE_CUT</x:v>
      </x:c>
      <x:c r="D240" s="52" t="str">
        <x:v>P_LARGE_85_100</x:v>
      </x:c>
      <x:c r="E240" s="52" t="n">
        <x:v>-4.637570757151687</x:v>
      </x:c>
      <x:c r="F240" s="52" t="n">
        <x:v>-0.6522680293958</x:v>
      </x:c>
      <x:c r="G240" s="52" t="n">
        <x:v>-0.864637027694891</x:v>
      </x:c>
      <x:c r="H240" s="54" t="n">
        <x:v>1</x:v>
      </x:c>
      <x:c r="I240" s="53" t="b">
        <x:v>0</x:v>
      </x:c>
    </x:row>
    <x:row r="241" ht="23" customHeight="1">
      <x:c r="C241" s="52" t="str">
        <x:v>S_COMBINED_DOWNSIDE</x:v>
      </x:c>
      <x:c r="D241" s="52" t="str">
        <x:v>P_SOFTWARE_75_100</x:v>
      </x:c>
      <x:c r="E241" s="52" t="n">
        <x:v>-0.5853664473992697</x:v>
      </x:c>
      <x:c r="F241" s="52" t="n">
        <x:v>-0.17274028343395142</x:v>
      </x:c>
      <x:c r="G241" s="52" t="n">
        <x:v>-0.09502302574954208</x:v>
      </x:c>
      <x:c r="H241" s="54" t="n">
        <x:v>0.9753580607470413</x:v>
      </x:c>
      <x:c r="I241" s="53" t="b">
        <x:v>0</x:v>
      </x:c>
    </x:row>
    <x:row r="242" ht="23" customHeight="1">
      <x:c r="C242" s="52" t="str">
        <x:v>S_COMBINED_DOWNSIDE</x:v>
      </x:c>
      <x:c r="D242" s="52" t="str">
        <x:v>P_SOFTWARE_80_100</x:v>
      </x:c>
      <x:c r="E242" s="52" t="n">
        <x:v>-0.5853664473992697</x:v>
      </x:c>
      <x:c r="F242" s="52" t="n">
        <x:v>-0.17274028343395142</x:v>
      </x:c>
      <x:c r="G242" s="52" t="n">
        <x:v>-0.09502302574954208</x:v>
      </x:c>
      <x:c r="H242" s="54" t="n">
        <x:v>0.9753580607470413</x:v>
      </x:c>
      <x:c r="I242" s="53" t="b">
        <x:v>0</x:v>
      </x:c>
    </x:row>
    <x:row r="243" ht="23" customHeight="1">
      <x:c r="C243" s="52" t="str">
        <x:v>S_COMBINED_DOWNSIDE</x:v>
      </x:c>
      <x:c r="D243" s="52" t="str">
        <x:v>P_SOFTWARE_85_100</x:v>
      </x:c>
      <x:c r="E243" s="52" t="n">
        <x:v>-0.5853664473992697</x:v>
      </x:c>
      <x:c r="F243" s="52" t="n">
        <x:v>-0.17274028343395142</x:v>
      </x:c>
      <x:c r="G243" s="52" t="n">
        <x:v>-0.09502302574954208</x:v>
      </x:c>
      <x:c r="H243" s="54" t="n">
        <x:v>0.9753580607470413</x:v>
      </x:c>
      <x:c r="I243" s="53" t="b">
        <x:v>0</x:v>
      </x:c>
    </x:row>
    <x:row r="244" ht="23" customHeight="1">
      <x:c r="C244" s="52" t="str">
        <x:v>S_COMBINED_DOWNSIDE</x:v>
      </x:c>
      <x:c r="D244" s="52" t="str">
        <x:v>P_SOFTWARE_90_100</x:v>
      </x:c>
      <x:c r="E244" s="52" t="n">
        <x:v>-0.5853664473992697</x:v>
      </x:c>
      <x:c r="F244" s="52" t="n">
        <x:v>-0.17274028343395142</x:v>
      </x:c>
      <x:c r="G244" s="52" t="n">
        <x:v>-0.09502302574954208</x:v>
      </x:c>
      <x:c r="H244" s="54" t="n">
        <x:v>0.9753580607470413</x:v>
      </x:c>
      <x:c r="I244" s="53" t="b">
        <x:v>0</x:v>
      </x:c>
    </x:row>
    <x:row r="245" ht="23" customHeight="1">
      <x:c r="C245" s="52" t="str">
        <x:v>S_COMBINED_DOWNSIDE</x:v>
      </x:c>
      <x:c r="D245" s="52" t="str">
        <x:v>P_SOFTWARE_95_100</x:v>
      </x:c>
      <x:c r="E245" s="52" t="n">
        <x:v>-0.5853664473992697</x:v>
      </x:c>
      <x:c r="F245" s="52" t="n">
        <x:v>-0.17274028343395142</x:v>
      </x:c>
      <x:c r="G245" s="52" t="n">
        <x:v>-0.09502302574954208</x:v>
      </x:c>
      <x:c r="H245" s="54" t="n">
        <x:v>0.9753580607470413</x:v>
      </x:c>
      <x:c r="I245" s="53" t="b">
        <x:v>0</x:v>
      </x:c>
    </x:row>
    <x:row r="246" ht="23" customHeight="1">
      <x:c r="C246" s="52" t="str">
        <x:v>S_COMBINED_DOWNSIDE</x:v>
      </x:c>
      <x:c r="D246" s="52" t="str">
        <x:v>P_CURRENT</x:v>
      </x:c>
      <x:c r="E246" s="52" t="n">
        <x:v>0</x:v>
      </x:c>
      <x:c r="F246" s="52" t="n">
        <x:v>0</x:v>
      </x:c>
      <x:c r="G246" s="52" t="n">
        <x:v>0</x:v>
      </x:c>
      <x:c r="H246" s="54" t="n">
        <x:v>0.974505170998632</x:v>
      </x:c>
      <x:c r="I246" s="53" t="b">
        <x:v>0</x:v>
      </x:c>
    </x:row>
    <x:row r="247" ht="23" customHeight="1">
      <x:c r="C247" s="52" t="str">
        <x:v>S_COMBINED_DOWNSIDE</x:v>
      </x:c>
      <x:c r="D247" s="52" t="str">
        <x:v>P_RULES_75_100</x:v>
      </x:c>
      <x:c r="E247" s="52" t="n">
        <x:v>-0.019752361783962044</x:v>
      </x:c>
      <x:c r="F247" s="52" t="n">
        <x:v>-0.024348629192348682</x:v>
      </x:c>
      <x:c r="G247" s="52" t="n">
        <x:v>0.0008390781274130177</x:v>
      </x:c>
      <x:c r="H247" s="54" t="n">
        <x:v>0.9758183203710581</x:v>
      </x:c>
      <x:c r="I247" s="53" t="b">
        <x:v>0</x:v>
      </x:c>
    </x:row>
    <x:row r="248" ht="23" customHeight="1">
      <x:c r="C248" s="52" t="str">
        <x:v>S_COMBINED_DOWNSIDE</x:v>
      </x:c>
      <x:c r="D248" s="52" t="str">
        <x:v>P_RULES_55_94</x:v>
      </x:c>
      <x:c r="E248" s="52" t="n">
        <x:v>-0.019784319225187166</x:v>
      </x:c>
      <x:c r="F248" s="52" t="n">
        <x:v>-0.023646151251912585</x:v>
      </x:c>
      <x:c r="G248" s="52" t="n">
        <x:v>0.0005004521577163246</x:v>
      </x:c>
      <x:c r="H248" s="54" t="n">
        <x:v>0.9811780514489227</x:v>
      </x:c>
      <x:c r="I248" s="53" t="b">
        <x:v>0</x:v>
      </x:c>
    </x:row>
    <x:row r="249" ht="23" customHeight="1">
      <x:c r="C249" s="52" t="str">
        <x:v>S_COMBINED_DOWNSIDE</x:v>
      </x:c>
      <x:c r="D249" s="52" t="str">
        <x:v>P_RULES_70_88</x:v>
      </x:c>
      <x:c r="E249" s="52" t="n">
        <x:v>-0.06651425436799632</x:v>
      </x:c>
      <x:c r="F249" s="52" t="n">
        <x:v>-0.032209438872526676</x:v>
      </x:c>
      <x:c r="G249" s="52" t="n">
        <x:v>-0.015591129170136497</x:v>
      </x:c>
      <x:c r="H249" s="54" t="n">
        <x:v>0.9882508455614227</x:v>
      </x:c>
      <x:c r="I249" s="53" t="b">
        <x:v>0</x:v>
      </x:c>
    </x:row>
    <x:row r="250" ht="23" customHeight="1">
      <x:c r="C250" s="52" t="str">
        <x:v>S_COMBINED_DOWNSIDE</x:v>
      </x:c>
      <x:c r="D250" s="52" t="str">
        <x:v>P_SOFTWARE_60_94</x:v>
      </x:c>
      <x:c r="E250" s="52" t="n">
        <x:v>-0.5841447831061165</x:v>
      </x:c>
      <x:c r="F250" s="52" t="n">
        <x:v>-0.17103919352771724</x:v>
      </x:c>
      <x:c r="G250" s="52" t="n">
        <x:v>-0.09536165171923877</x:v>
      </x:c>
      <x:c r="H250" s="54" t="n">
        <x:v>0.978856292093656</x:v>
      </x:c>
      <x:c r="I250" s="53" t="b">
        <x:v>0</x:v>
      </x:c>
    </x:row>
    <x:row r="251" ht="23" customHeight="1">
      <x:c r="C251" s="52" t="str">
        <x:v>S_COMBINED_DOWNSIDE</x:v>
      </x:c>
      <x:c r="D251" s="52" t="str">
        <x:v>P_SOFTWARE_70_88</x:v>
      </x:c>
      <x:c r="E251" s="52" t="n">
        <x:v>-0.6208669806876711</x:v>
      </x:c>
      <x:c r="F251" s="52" t="n">
        <x:v>-0.17162604963993144</x:v>
      </x:c>
      <x:c r="G251" s="52" t="n">
        <x:v>-0.1114532330470916</x:v>
      </x:c>
      <x:c r="H251" s="54" t="n">
        <x:v>0.983546193106156</x:v>
      </x:c>
      <x:c r="I251" s="53" t="b">
        <x:v>0</x:v>
      </x:c>
    </x:row>
    <x:row r="252" ht="23" customHeight="1">
      <x:c r="C252" s="52" t="str">
        <x:v>S_COMBINED_DOWNSIDE</x:v>
      </x:c>
      <x:c r="D252" s="52" t="str">
        <x:v>P_TARGETED_75_100</x:v>
      </x:c>
      <x:c r="E252" s="52" t="n">
        <x:v>-1.61486755005278</x:v>
      </x:c>
      <x:c r="F252" s="52" t="n">
        <x:v>-0.2995244359764194</x:v>
      </x:c>
      <x:c r="G252" s="52" t="n">
        <x:v>-0.16778477126807206</x:v>
      </x:c>
      <x:c r="H252" s="54" t="n">
        <x:v>0.9815557980330416</x:v>
      </x:c>
      <x:c r="I252" s="53" t="b">
        <x:v>0</x:v>
      </x:c>
    </x:row>
    <x:row r="253" ht="23" customHeight="1">
      <x:c r="C253" s="52" t="str">
        <x:v>S_COMBINED_DOWNSIDE</x:v>
      </x:c>
      <x:c r="D253" s="52" t="str">
        <x:v>P_TARGETED_75_94</x:v>
      </x:c>
      <x:c r="E253" s="52" t="n">
        <x:v>-1.6284466858899298</x:v>
      </x:c>
      <x:c r="F253" s="52" t="n">
        <x:v>-0.3018737574237954</x:v>
      </x:c>
      <x:c r="G253" s="52" t="n">
        <x:v>-0.1686015612920298</x:v>
      </x:c>
      <x:c r="H253" s="54" t="n">
        <x:v>0.9837623756306978</x:v>
      </x:c>
      <x:c r="I253" s="53" t="b">
        <x:v>0</x:v>
      </x:c>
    </x:row>
    <x:row r="254" ht="23" customHeight="1">
      <x:c r="C254" s="52" t="str">
        <x:v>S_COMBINED_DOWNSIDE</x:v>
      </x:c>
      <x:c r="D254" s="52" t="str">
        <x:v>P_LARGE_85_100</x:v>
      </x:c>
      <x:c r="E254" s="52" t="n">
        <x:v>-6.198644343275266</x:v>
      </x:c>
      <x:c r="F254" s="52" t="n">
        <x:v>-0.8556208705474513</x:v>
      </x:c>
      <x:c r="G254" s="52" t="n">
        <x:v>-0.8843891305023578</x:v>
      </x:c>
      <x:c r="H254" s="54" t="n">
        <x:v>0.9833818799582653</x:v>
      </x:c>
      <x:c r="I254" s="53" t="b">
        <x:v>0</x:v>
      </x:c>
    </x:row>
    <x:row r="255" ht="23" customHeight="1">
      <x:c r="C255" s="52" t="str">
        <x:v>S_UPSIDE_EXECUTION</x:v>
      </x:c>
      <x:c r="D255" s="52" t="str">
        <x:v>P_SOFTWARE_75_100</x:v>
      </x:c>
      <x:c r="E255" s="52" t="n">
        <x:v>2.12273405136917</x:v>
      </x:c>
      <x:c r="F255" s="52" t="n">
        <x:v>0.5188471241083453</x:v>
      </x:c>
      <x:c r="G255" s="52" t="n">
        <x:v>1.0014837499910798</x:v>
      </x:c>
      <x:c r="H255" s="54" t="n">
        <x:v>0.9719124166666666</x:v>
      </x:c>
      <x:c r="I255" s="53" t="b">
        <x:v>0</x:v>
      </x:c>
    </x:row>
    <x:row r="256" ht="23" customHeight="1">
      <x:c r="C256" s="52" t="str">
        <x:v>S_UPSIDE_EXECUTION</x:v>
      </x:c>
      <x:c r="D256" s="52" t="str">
        <x:v>P_SOFTWARE_80_100</x:v>
      </x:c>
      <x:c r="E256" s="52" t="n">
        <x:v>2.12273405136917</x:v>
      </x:c>
      <x:c r="F256" s="52" t="n">
        <x:v>0.5188471241083453</x:v>
      </x:c>
      <x:c r="G256" s="52" t="n">
        <x:v>1.0014837499910798</x:v>
      </x:c>
      <x:c r="H256" s="54" t="n">
        <x:v>0.9719124166666666</x:v>
      </x:c>
      <x:c r="I256" s="53" t="b">
        <x:v>0</x:v>
      </x:c>
    </x:row>
    <x:row r="257" ht="23" customHeight="1">
      <x:c r="C257" s="52" t="str">
        <x:v>S_UPSIDE_EXECUTION</x:v>
      </x:c>
      <x:c r="D257" s="52" t="str">
        <x:v>P_SOFTWARE_85_100</x:v>
      </x:c>
      <x:c r="E257" s="52" t="n">
        <x:v>2.12273405136917</x:v>
      </x:c>
      <x:c r="F257" s="52" t="n">
        <x:v>0.5188471241083453</x:v>
      </x:c>
      <x:c r="G257" s="52" t="n">
        <x:v>1.0014837499910798</x:v>
      </x:c>
      <x:c r="H257" s="54" t="n">
        <x:v>0.9719124166666666</x:v>
      </x:c>
      <x:c r="I257" s="53" t="b">
        <x:v>0</x:v>
      </x:c>
    </x:row>
    <x:row r="258" ht="23" customHeight="1">
      <x:c r="C258" s="52" t="str">
        <x:v>S_UPSIDE_EXECUTION</x:v>
      </x:c>
      <x:c r="D258" s="52" t="str">
        <x:v>P_SOFTWARE_90_100</x:v>
      </x:c>
      <x:c r="E258" s="52" t="n">
        <x:v>2.12273405136917</x:v>
      </x:c>
      <x:c r="F258" s="52" t="n">
        <x:v>0.5188471241083453</x:v>
      </x:c>
      <x:c r="G258" s="52" t="n">
        <x:v>1.0014837499910798</x:v>
      </x:c>
      <x:c r="H258" s="54" t="n">
        <x:v>0.9719124166666666</x:v>
      </x:c>
      <x:c r="I258" s="53" t="b">
        <x:v>0</x:v>
      </x:c>
    </x:row>
    <x:row r="259" ht="23" customHeight="1">
      <x:c r="C259" s="52" t="str">
        <x:v>S_UPSIDE_EXECUTION</x:v>
      </x:c>
      <x:c r="D259" s="52" t="str">
        <x:v>P_SOFTWARE_95_100</x:v>
      </x:c>
      <x:c r="E259" s="52" t="n">
        <x:v>2.12273405136917</x:v>
      </x:c>
      <x:c r="F259" s="52" t="n">
        <x:v>0.5188471241083453</x:v>
      </x:c>
      <x:c r="G259" s="52" t="n">
        <x:v>1.0014837499910798</x:v>
      </x:c>
      <x:c r="H259" s="54" t="n">
        <x:v>0.9719124166666666</x:v>
      </x:c>
      <x:c r="I259" s="53" t="b">
        <x:v>0</x:v>
      </x:c>
    </x:row>
    <x:row r="260" ht="23" customHeight="1">
      <x:c r="C260" s="52" t="str">
        <x:v>S_UPSIDE_EXECUTION</x:v>
      </x:c>
      <x:c r="D260" s="52" t="str">
        <x:v>P_CURRENT</x:v>
      </x:c>
      <x:c r="E260" s="52" t="n">
        <x:v>0</x:v>
      </x:c>
      <x:c r="F260" s="52" t="n">
        <x:v>0</x:v>
      </x:c>
      <x:c r="G260" s="52" t="n">
        <x:v>0</x:v>
      </x:c>
      <x:c r="H260" s="54" t="n">
        <x:v>1</x:v>
      </x:c>
      <x:c r="I260" s="53" t="b">
        <x:v>0</x:v>
      </x:c>
    </x:row>
    <x:row r="261" ht="23" customHeight="1">
      <x:c r="C261" s="52" t="str">
        <x:v>S_UPSIDE_EXECUTION</x:v>
      </x:c>
      <x:c r="D261" s="52" t="str">
        <x:v>P_RULES_75_100</x:v>
      </x:c>
      <x:c r="E261" s="52" t="n">
        <x:v>1.4267949406571208</x:v>
      </x:c>
      <x:c r="F261" s="52" t="n">
        <x:v>0.49249877947914256</x:v>
      </x:c>
      <x:c r="G261" s="52" t="n">
        <x:v>0.5693633589681397</x:v>
      </x:c>
      <x:c r="H261" s="54" t="n">
        <x:v>0.9673041666666666</x:v>
      </x:c>
      <x:c r="I261" s="53" t="b">
        <x:v>0</x:v>
      </x:c>
    </x:row>
    <x:row r="262" ht="23" customHeight="1">
      <x:c r="C262" s="52" t="str">
        <x:v>S_UPSIDE_EXECUTION</x:v>
      </x:c>
      <x:c r="D262" s="52" t="str">
        <x:v>P_RULES_55_94</x:v>
      </x:c>
      <x:c r="E262" s="52" t="n">
        <x:v>1.004413104931667</x:v>
      </x:c>
      <x:c r="F262" s="52" t="n">
        <x:v>0.31488923059248164</x:v>
      </x:c>
      <x:c r="G262" s="52" t="n">
        <x:v>0.41218322459867807</x:v>
      </x:c>
      <x:c r="H262" s="54" t="n">
        <x:v>0.9926839604166666</x:v>
      </x:c>
      <x:c r="I262" s="53" t="b">
        <x:v>0</x:v>
      </x:c>
    </x:row>
    <x:row r="263" ht="23" customHeight="1">
      <x:c r="C263" s="52" t="str">
        <x:v>S_UPSIDE_EXECUTION</x:v>
      </x:c>
      <x:c r="D263" s="52" t="str">
        <x:v>P_RULES_70_88</x:v>
      </x:c>
      <x:c r="E263" s="52" t="n">
        <x:v>0.6236569510685723</x:v>
      </x:c>
      <x:c r="F263" s="52" t="n">
        <x:v>0.19076980539734179</x:v>
      </x:c>
      <x:c r="G263" s="52" t="n">
        <x:v>0.2576294729548394</x:v>
      </x:c>
      <x:c r="H263" s="54" t="n">
        <x:v>1</x:v>
      </x:c>
      <x:c r="I263" s="53" t="b">
        <x:v>0</x:v>
      </x:c>
    </x:row>
    <x:row r="264" ht="23" customHeight="1">
      <x:c r="C264" s="52" t="str">
        <x:v>S_UPSIDE_EXECUTION</x:v>
      </x:c>
      <x:c r="D264" s="52" t="str">
        <x:v>P_SOFTWARE_60_94</x:v>
      </x:c>
      <x:c r="E264" s="52" t="n">
        <x:v>1.9345986346293653</x:v>
      </x:c>
      <x:c r="F264" s="52" t="n">
        <x:v>0.40054392758121204</x:v>
      </x:c>
      <x:c r="G264" s="52" t="n">
        <x:v>0.952852297565267</x:v>
      </x:c>
      <x:c r="H264" s="54" t="n">
        <x:v>0.9874171678333333</x:v>
      </x:c>
      <x:c r="I264" s="53" t="b">
        <x:v>0</x:v>
      </x:c>
    </x:row>
    <x:row r="265" ht="23" customHeight="1">
      <x:c r="C265" s="52" t="str">
        <x:v>S_UPSIDE_EXECUTION</x:v>
      </x:c>
      <x:c r="D265" s="52" t="str">
        <x:v>P_SOFTWARE_70_88</x:v>
      </x:c>
      <x:c r="E265" s="52" t="n">
        <x:v>1.3717850042261623</x:v>
      </x:c>
      <x:c r="F265" s="52" t="n">
        <x:v>0.232645408660589</x:v>
      </x:c>
      <x:c r="G265" s="52" t="n">
        <x:v>0.7197632656518124</x:v>
      </x:c>
      <x:c r="H265" s="54" t="n">
        <x:v>1</x:v>
      </x:c>
      <x:c r="I265" s="53" t="b">
        <x:v>0</x:v>
      </x:c>
    </x:row>
    <x:row r="266" ht="23" customHeight="1">
      <x:c r="C266" s="52" t="str">
        <x:v>S_UPSIDE_EXECUTION</x:v>
      </x:c>
      <x:c r="D266" s="52" t="str">
        <x:v>P_TARGETED_75_100</x:v>
      </x:c>
      <x:c r="E266" s="52" t="n">
        <x:v>1.90822576866181</x:v>
      </x:c>
      <x:c r="F266" s="52" t="n">
        <x:v>0.22749850350433784</x:v>
      </x:c>
      <x:c r="G266" s="52" t="n">
        <x:v>1.2604589941961881</x:v>
      </x:c>
      <x:c r="H266" s="54" t="n">
        <x:v>0.9894922307692308</x:v>
      </x:c>
      <x:c r="I266" s="53" t="b">
        <x:v>0</x:v>
      </x:c>
    </x:row>
    <x:row r="267" ht="23" customHeight="1">
      <x:c r="C267" s="52" t="str">
        <x:v>S_UPSIDE_EXECUTION</x:v>
      </x:c>
      <x:c r="D267" s="52" t="str">
        <x:v>P_TARGETED_75_94</x:v>
      </x:c>
      <x:c r="E267" s="52" t="n">
        <x:v>1.8332971620931924</x:v>
      </x:c>
      <x:c r="F267" s="52" t="n">
        <x:v>0.1493019479836895</x:v>
      </x:c>
      <x:c r="G267" s="52" t="n">
        <x:v>1.2630048618722396</x:v>
      </x:c>
      <x:c r="H267" s="54" t="n">
        <x:v>0.9866655107692308</x:v>
      </x:c>
      <x:c r="I267" s="53" t="b">
        <x:v>0</x:v>
      </x:c>
    </x:row>
    <x:row r="268" ht="23" customHeight="1">
      <x:c r="C268" s="52" t="str">
        <x:v>S_UPSIDE_EXECUTION</x:v>
      </x:c>
      <x:c r="D268" s="52" t="str">
        <x:v>P_LARGE_85_100</x:v>
      </x:c>
      <x:c r="E268" s="52" t="n">
        <x:v>-1.188874338804054</x:v>
      </x:c>
      <x:c r="F268" s="52" t="n">
        <x:v>-0.44648524762227726</x:v>
      </x:c>
      <x:c r="G268" s="52" t="n">
        <x:v>0.7403057018928312</x:v>
      </x:c>
      <x:c r="H268" s="54" t="n">
        <x:v>1</x:v>
      </x:c>
      <x:c r="I268" s="53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16" hidden="0" customWidth="1"/>
    <x:col min="5" max="5" width="32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Case facts and baseline reconciliation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2" customHeight="1">
      <x:c r="A4" s="1"/>
      <x:c r="B4" s="1"/>
      <x:c r="C4" s="13" t="str">
        <x:v>2025 fact</x:v>
      </x:c>
      <x:c r="D4" s="14" t="str">
        <x:v>Value</x:v>
      </x:c>
      <x:c r="E4" s="14" t="str">
        <x:v>Unit / source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22" customHeight="1">
      <x:c r="A5" s="1"/>
      <x:c r="B5" s="1"/>
      <x:c r="C5" s="3" t="str">
        <x:v>GMV</x:v>
      </x:c>
      <x:c r="D5" s="4" t="n">
        <x:v>600</x:v>
      </x:c>
      <x:c r="E5" s="4" t="str">
        <x:v>Rp tn, handoff p.7</x:v>
      </x:c>
      <x:c r="F5" s="4"/>
      <x:c r="G5" s="18" t="str">
        <x:v>Source access: supplied Markdown extract. Original casebook PDF not inspected.</x:v>
      </x:c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22" customHeight="1">
      <x:c r="A6" s="1"/>
      <x:c r="B6" s="1"/>
      <x:c r="C6" s="3" t="str">
        <x:v>Platform revenue</x:v>
      </x:c>
      <x:c r="D6" s="4" t="n">
        <x:v>60</x:v>
      </x:c>
      <x:c r="E6" s="4" t="str">
        <x:v>Rp tn, p.7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22" customHeight="1">
      <x:c r="A7" s="1"/>
      <x:c r="B7" s="1"/>
      <x:c r="C7" s="3" t="str">
        <x:v>Marketing</x:v>
      </x:c>
      <x:c r="D7" s="4" t="n">
        <x:v>24</x:v>
      </x:c>
      <x:c r="E7" s="4" t="str">
        <x:v>Rp tn, p.7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32" customHeight="1">
      <x:c r="A8" s="1"/>
      <x:c r="B8" s="1"/>
      <x:c r="C8" s="3" t="str">
        <x:v>Annual parcels</x:v>
      </x:c>
      <x:c r="D8" s="4" t="n">
        <x:v>2</x:v>
      </x:c>
      <x:c r="E8" s="4" t="str">
        <x:v>bn parcels, p.10</x:v>
      </x:c>
      <x:c r="F8" s="4"/>
      <x:c r="G8" s="14" t="str">
        <x:v>2024 fact</x:v>
      </x:c>
      <x:c r="H8" s="14" t="str">
        <x:v>Value</x:v>
      </x:c>
      <x:c r="I8" s="14" t="str">
        <x:v>Source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22" customHeight="1">
      <x:c r="A9" s="1"/>
      <x:c r="B9" s="1"/>
      <x:c r="C9" s="3" t="str">
        <x:v>Internal share</x:v>
      </x:c>
      <x:c r="D9" s="15" t="n">
        <x:v>0.5</x:v>
      </x:c>
      <x:c r="E9" s="4" t="str">
        <x:v>fraction, p.10</x:v>
      </x:c>
      <x:c r="F9" s="4"/>
      <x:c r="G9" s="4" t="str">
        <x:v>GMV</x:v>
      </x:c>
      <x:c r="H9" s="4" t="n">
        <x:v>560</x:v>
      </x:c>
      <x:c r="I9" s="4" t="str">
        <x:v>Rp tn,p.7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22" customHeight="1">
      <x:c r="A10" s="1"/>
      <x:c r="B10" s="1"/>
      <x:c r="C10" s="3" t="str">
        <x:v>Internal cost</x:v>
      </x:c>
      <x:c r="D10" s="16" t="n">
        <x:v>8000</x:v>
      </x:c>
      <x:c r="E10" s="4" t="str">
        <x:v>IDR/parcel, p.10</x:v>
      </x:c>
      <x:c r="F10" s="4"/>
      <x:c r="G10" s="4" t="str">
        <x:v>Revenue</x:v>
      </x:c>
      <x:c r="H10" s="4" t="n">
        <x:v>45</x:v>
      </x:c>
      <x:c r="I10" s="4" t="str">
        <x:v>Rp tn,p.7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22" customHeight="1">
      <x:c r="A11" s="1"/>
      <x:c r="B11" s="1"/>
      <x:c r="C11" s="3" t="str">
        <x:v>External cost</x:v>
      </x:c>
      <x:c r="D11" s="16" t="n">
        <x:v>12000</x:v>
      </x:c>
      <x:c r="E11" s="4" t="str">
        <x:v>IDR/parcel, p.10</x:v>
      </x:c>
      <x:c r="F11" s="4"/>
      <x:c r="G11" s="4" t="str">
        <x:v>Marketing</x:v>
      </x:c>
      <x:c r="H11" s="4" t="n">
        <x:v>28</x:v>
      </x:c>
      <x:c r="I11" s="4" t="str">
        <x:v>Rp tn,p.7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22" customHeight="1">
      <x:c r="A12" s="1"/>
      <x:c r="B12" s="1"/>
      <x:c r="C12" s="3" t="str">
        <x:v>Group operating profit</x:v>
      </x:c>
      <x:c r="D12" s="4" t="n">
        <x:v>5</x:v>
      </x:c>
      <x:c r="E12" s="4" t="str">
        <x:v>Rp tn, p.7</x:v>
      </x:c>
      <x:c r="F12" s="4"/>
      <x:c r="G12" s="4" t="str">
        <x:v>Delivery cost/parcel</x:v>
      </x:c>
      <x:c r="H12" s="4" t="n">
        <x:v>12000</x:v>
      </x:c>
      <x:c r="I12" s="4" t="str">
        <x:v>IDR,p.7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22" customHeight="1">
      <x:c r="A13" s="1"/>
      <x:c r="B13" s="1"/>
      <x:c r="C13" s="3" t="str">
        <x:v>Small-seller churn</x:v>
      </x:c>
      <x:c r="D13" s="15" t="n">
        <x:v>0.12</x:v>
      </x:c>
      <x:c r="E13" s="4" t="str">
        <x:v>annual, p.10</x:v>
      </x:c>
      <x:c r="F13" s="4"/>
      <x:c r="G13" s="4" t="str">
        <x:v>Operating loss</x:v>
      </x:c>
      <x:c r="H13" s="4" t="n">
        <x:v>-3</x:v>
      </x:c>
      <x:c r="I13" s="4" t="str">
        <x:v>Rp tn,p.7</x:v>
      </x:c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22" customHeight="1">
      <x:c r="A14" s="1"/>
      <x:c r="B14" s="1"/>
      <x:c r="C14" s="3" t="str">
        <x:v>Repeat-buyer rate 2024</x:v>
      </x:c>
      <x:c r="D14" s="15" t="n">
        <x:v>0.62</x:v>
      </x:c>
      <x:c r="E14" s="4" t="str">
        <x:v>fraction, p.10</x:v>
      </x:c>
      <x:c r="F14" s="4"/>
      <x:c r="G14" s="4" t="str">
        <x:v>Reported take rate</x:v>
      </x:c>
      <x:c r="H14" s="15" t="n">
        <x:v>0.08</x:v>
      </x:c>
      <x:c r="I14" s="4" t="str">
        <x:v>rounded,p.7</x:v>
      </x:c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22" customHeight="1">
      <x:c r="A15" s="1"/>
      <x:c r="B15" s="1"/>
      <x:c r="C15" s="3" t="str">
        <x:v>Repeat-buyer rate 2025</x:v>
      </x:c>
      <x:c r="D15" s="15" t="n">
        <x:v>0.57</x:v>
      </x:c>
      <x:c r="E15" s="4" t="str">
        <x:v>fraction, p.10</x:v>
      </x:c>
      <x:c r="F15" s="4"/>
      <x:c r="G15" s="4"/>
      <x:c r="H15" s="15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22" customHeight="1">
      <x:c r="A16" s="1"/>
      <x:c r="B16" s="1"/>
      <x:c r="C16" s="3"/>
      <x:c r="D16" s="4"/>
      <x:c r="E16" s="4"/>
      <x:c r="F16" s="4"/>
      <x:c r="G16" s="4" t="str">
        <x:v>Exact implied 2024 take rate</x:v>
      </x:c>
      <x:c r="H16" s="19" t="n">
        <x:f>H10/H9</x:f>
        <x:v>0.08035714285714286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32" customHeight="1">
      <x:c r="A17" s="1"/>
      <x:c r="B17" s="1"/>
      <x:c r="C17" s="13" t="str">
        <x:v>Derived identity</x:v>
      </x:c>
      <x:c r="D17" s="14" t="str">
        <x:v>Value</x:v>
      </x:c>
      <x:c r="E17" s="14" t="str">
        <x:v>Interpretation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22" customHeight="1">
      <x:c r="A18" s="1"/>
      <x:c r="B18" s="1"/>
      <x:c r="C18" s="3" t="str">
        <x:v>Blended cost</x:v>
      </x:c>
      <x:c r="D18" s="17" t="n">
        <x:f>D9*D10+(1-D9)*D11</x:f>
        <x:v>10000</x:v>
      </x:c>
      <x:c r="E18" s="4" t="str">
        <x:v>IDR/parcel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3" t="str">
        <x:v>Delivery spending</x:v>
      </x:c>
      <x:c r="D19" s="17" t="n">
        <x:f>D8*D18/1000</x:f>
        <x:v>20</x:v>
      </x:c>
      <x:c r="E19" s="4" t="str">
        <x:v>Rp tn; conditional aligned scopes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 t="str">
        <x:v>Internal delivery spending</x:v>
      </x:c>
      <x:c r="D20" s="17" t="n">
        <x:f>D8*D9*D10/1000</x:f>
        <x:v>8</x:v>
      </x:c>
      <x:c r="E20" s="4" t="str">
        <x:v>Rp tn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 t="str">
        <x:v>External delivery spending</x:v>
      </x:c>
      <x:c r="D21" s="17" t="n">
        <x:f>D8*(1-D9)*D11/1000</x:f>
        <x:v>12</x:v>
      </x:c>
      <x:c r="E21" s="4" t="str">
        <x:v>Rp tn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 t="str">
        <x:v>GMV per parcel</x:v>
      </x:c>
      <x:c r="D22" s="17" t="n">
        <x:f>D5*1000/D8</x:f>
        <x:v>300000</x:v>
      </x:c>
      <x:c r="E22" s="4" t="str">
        <x:v>IDR; not proven order value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 t="str">
        <x:v>Revenue per parcel</x:v>
      </x:c>
      <x:c r="D23" s="17" t="n">
        <x:f>D6*1000/D8</x:f>
        <x:v>30000</x:v>
      </x:c>
      <x:c r="E23" s="4" t="str">
        <x:v>IDR; not marginal contribution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 t="str">
        <x:v>Other operating costs</x:v>
      </x:c>
      <x:c r="D24" s="17" t="n">
        <x:f>D6-D7-D12</x:f>
        <x:v>31</x:v>
      </x:c>
      <x:c r="E24" s="4" t="str">
        <x:v>Rp tn including logistics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 t="str">
        <x:v>Conditional residual</x:v>
      </x:c>
      <x:c r="D25" s="17" t="n">
        <x:f>D24-D19</x:f>
        <x:v>11</x:v>
      </x:c>
      <x:c r="E25" s="4" t="str">
        <x:v>Rp tn; not identified fixed overhead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 t="str">
        <x:v>10pp mechanical switch saving</x:v>
      </x:c>
      <x:c r="D26" s="17" t="n">
        <x:f>D8*0.1*(D11-D10)/1000</x:f>
        <x:v>0.8</x:v>
      </x:c>
      <x:c r="E26" s="4" t="str">
        <x:v>Rp tn; reference, not forecast</x:v>
      </x:c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 t="str">
        <x:v>Rp1,000/parcel sanity check</x:v>
      </x:c>
      <x:c r="D27" s="17" t="n">
        <x:f>D8</x:f>
        <x:v>2</x:v>
      </x:c>
      <x:c r="E27" s="4" t="str">
        <x:v>Rp tn per 1,000 IDR/parcel</x:v>
      </x:c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9" hidden="0" customWidth="1"/>
    <x:col min="4" max="4" width="32" hidden="0" customWidth="1"/>
    <x:col min="5" max="5" width="27" hidden="0" customWidth="1"/>
    <x:col min="6" max="6" width="26" hidden="0" customWidth="1"/>
    <x:col min="7" max="7" width="16" hidden="0" customWidth="1"/>
    <x:col min="8" max="8" width="16" hidden="0" customWidth="1"/>
    <x:col min="9" max="9" width="90" hidden="0" customWidth="1"/>
    <x:col min="10" max="10" width="5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Authored assumptions and sensitivity ranges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3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32" customHeight="1">
      <x:c r="A5" s="1"/>
      <x:c r="B5" s="1"/>
      <x:c r="C5" s="13" t="str">
        <x:v>ID</x:v>
      </x:c>
      <x:c r="D5" s="14" t="str">
        <x:v>Input</x:v>
      </x:c>
      <x:c r="E5" s="14" t="str">
        <x:v>Central / array</x:v>
      </x:c>
      <x:c r="F5" s="14" t="str">
        <x:v>Unit</x:v>
      </x:c>
      <x:c r="G5" s="14" t="str">
        <x:v>Low</x:v>
      </x:c>
      <x:c r="H5" s="14" t="str">
        <x:v>High</x:v>
      </x:c>
      <x:c r="I5" s="14" t="str">
        <x:v>Reason and scope</x:v>
      </x:c>
      <x:c r="J5" s="14" t="str">
        <x:v>Source / confidence</x:v>
      </x:c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50" customHeight="1">
      <x:c r="A6" s="1"/>
      <x:c r="B6" s="1"/>
      <x:c r="C6" s="3" t="str">
        <x:v>A01</x:v>
      </x:c>
      <x:c r="D6" s="47" t="str">
        <x:v>National market weights</x:v>
      </x:c>
      <x:c r="E6" s="47" t="str">
        <x:v>0.35 / 0.3 / 0.25 / 0.1</x:v>
      </x:c>
      <x:c r="F6" s="47" t="str">
        <x:v>parcel fraction</x:v>
      </x:c>
      <x:c r="G6" s="47" t="str">
        <x:v>n.a.</x:v>
      </x:c>
      <x:c r="H6" s="47" t="str">
        <x:v>n.a.</x:v>
      </x:c>
      <x:c r="I6" s="47" t="str">
        <x:v>Dense/suburban/regional/difficult; alternative45/25/20/10 and25/25/35/15. Alternative anchors recalibrated.</x:v>
      </x:c>
      <x:c r="J6" s="47" t="str">
        <x:v>Analyst assumption; Low: no Nexora operational observations</x:v>
      </x:c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50" customHeight="1">
      <x:c r="A7" s="1"/>
      <x:c r="B7" s="1"/>
      <x:c r="C7" s="3" t="str">
        <x:v>A02</x:v>
      </x:c>
      <x:c r="D7" s="47" t="str">
        <x:v>Baseline internal share by type</x:v>
      </x:c>
      <x:c r="E7" s="47" t="str">
        <x:v>0.8 / 0.6 / 0.16 / 0</x:v>
      </x:c>
      <x:c r="F7" s="47" t="str">
        <x:v>parcel fraction</x:v>
      </x:c>
      <x:c r="G7" s="47" t="n">
        <x:v>0</x:v>
      </x:c>
      <x:c r="H7" s="47" t="n">
        <x:v>1</x:v>
      </x:c>
      <x:c r="I7" s="47" t="str">
        <x:v>Weighted total50%, not observed route mix.</x:v>
      </x:c>
      <x:c r="J7" s="47" t="str">
        <x:v>Analyst assumption; Low: no Nexora operational observations</x:v>
      </x:c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50" customHeight="1">
      <x:c r="A8" s="1"/>
      <x:c r="B8" s="1"/>
      <x:c r="C8" s="3" t="str">
        <x:v>A03</x:v>
      </x:c>
      <x:c r="D8" s="47" t="str">
        <x:v>Internal average cost by type</x:v>
      </x:c>
      <x:c r="E8" s="47" t="str">
        <x:v>7000 / 8500 / 12750 / 18000</x:v>
      </x:c>
      <x:c r="F8" s="47" t="str">
        <x:v>IDR/parcel</x:v>
      </x:c>
      <x:c r="G8" s="47" t="str">
        <x:v>n.a.</x:v>
      </x:c>
      <x:c r="H8" s="47" t="str">
        <x:v>n.a.</x:v>
      </x:c>
      <x:c r="I8" s="47" t="str">
        <x:v>Calibrates weighted internal average8,000; remote unused historical cell not identified.</x:v>
      </x:c>
      <x:c r="J8" s="47" t="str">
        <x:v>Analyst assumption; Low: no Nexora operational observations</x:v>
      </x:c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50" customHeight="1">
      <x:c r="A9" s="1"/>
      <x:c r="B9" s="1"/>
      <x:c r="C9" s="3" t="str">
        <x:v>A04</x:v>
      </x:c>
      <x:c r="D9" s="47" t="str">
        <x:v>External carrier price by type</x:v>
      </x:c>
      <x:c r="E9" s="47" t="str">
        <x:v>10000 / 11000 / 12000 / 14600</x:v>
      </x:c>
      <x:c r="F9" s="47" t="str">
        <x:v>IDR/parcel</x:v>
      </x:c>
      <x:c r="G9" s="47" t="str">
        <x:v>n.a.</x:v>
      </x:c>
      <x:c r="H9" s="47" t="str">
        <x:v>n.a.</x:v>
      </x:c>
      <x:c r="I9" s="47" t="str">
        <x:v>Calibrates weighted external average12,000. Contract prices, not public retail tariffs.</x:v>
      </x:c>
      <x:c r="J9" s="47" t="str">
        <x:v>Analyst assumption; Low: no Nexora operational observations</x:v>
      </x:c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50" customHeight="1">
      <x:c r="A10" s="1"/>
      <x:c r="B10" s="1"/>
      <x:c r="C10" s="3" t="str">
        <x:v>A05</x:v>
      </x:c>
      <x:c r="D10" s="47" t="str">
        <x:v>Committed annual internal capacity</x:v>
      </x:c>
      <x:c r="E10" s="47" t="str">
        <x:v>0.64 / 0.43 / 0.13 / 0.02</x:v>
      </x:c>
      <x:c r="F10" s="47" t="str">
        <x:v>bn parcels/year</x:v>
      </x:c>
      <x:c r="G10" s="47" t="n">
        <x:v>0.8</x:v>
      </x:c>
      <x:c r="H10" s="47" t="n">
        <x:v>1.08</x:v>
      </x:c>
      <x:c r="I10" s="47" t="str">
        <x:v>Capacity is min(sortation, linehaul, delivery-labour ceilings). Reference fleet/labour ceilings1.05/1.10 times sorter capacity; all expand together. Not observed spare capacity.</x:v>
      </x:c>
      <x:c r="J10" s="47" t="str">
        <x:v>Analyst assumption; Low: no Nexora operational observations</x:v>
      </x:c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50" customHeight="1">
      <x:c r="A11" s="1"/>
      <x:c r="B11" s="1"/>
      <x:c r="C11" s="3" t="str">
        <x:v>A06</x:v>
      </x:c>
      <x:c r="D11" s="47" t="str">
        <x:v>Committed fixed share of historical internal cost</x:v>
      </x:c>
      <x:c r="E11" s="47" t="n">
        <x:v>0.25</x:v>
      </x:c>
      <x:c r="F11" s="47" t="str">
        <x:v>fraction</x:v>
      </x:c>
      <x:c r="G11" s="47" t="n">
        <x:v>0.1</x:v>
      </x:c>
      <x:c r="H11" s="47" t="n">
        <x:v>0.4</x:v>
      </x:c>
      <x:c r="I11" s="47" t="str">
        <x:v>Fixed cash costs persist on rerouting. Variable intercept calibrated after baseline overtime.</x:v>
      </x:c>
      <x:c r="J11" s="47" t="str">
        <x:v>Analyst assumption; Low: no Nexora operational observations</x:v>
      </x:c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50" customHeight="1">
      <x:c r="A12" s="1"/>
      <x:c r="B12" s="1"/>
      <x:c r="C12" s="3" t="str">
        <x:v>A07</x:v>
      </x:c>
      <x:c r="D12" s="47" t="str">
        <x:v>Overtime threshold</x:v>
      </x:c>
      <x:c r="E12" s="47" t="n">
        <x:v>0.85</x:v>
      </x:c>
      <x:c r="F12" s="47" t="str">
        <x:v>capacity utilisation</x:v>
      </x:c>
      <x:c r="G12" s="47" t="n">
        <x:v>0.8</x:v>
      </x:c>
      <x:c r="H12" s="47" t="n">
        <x:v>0.9</x:v>
      </x:c>
      <x:c r="I12" s="47" t="str">
        <x:v>Penalty integral above threshold; daily queue proxy separate.</x:v>
      </x:c>
      <x:c r="J12" s="47" t="str">
        <x:v>Analyst assumption; Low: no Nexora operational observations</x:v>
      </x:c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50" customHeight="1">
      <x:c r="A13" s="1"/>
      <x:c r="B13" s="1"/>
      <x:c r="C13" s="3" t="str">
        <x:v>A08</x:v>
      </x:c>
      <x:c r="D13" s="47" t="str">
        <x:v>Overtime marginal increment at full capacity</x:v>
      </x:c>
      <x:c r="E13" s="47" t="str">
        <x:v>3500 / 4500 / 6500 / 8000</x:v>
      </x:c>
      <x:c r="F13" s="47" t="str">
        <x:v>IDR/parcel</x:v>
      </x:c>
      <x:c r="G13" s="47" t="str">
        <x:v>n.a.</x:v>
      </x:c>
      <x:c r="H13" s="47" t="str">
        <x:v>n.a.</x:v>
      </x:c>
      <x:c r="I13" s="47" t="str">
        <x:v>Avoidable labour/queue pressure coefficient; not a fitted U-shaped average curve.</x:v>
      </x:c>
      <x:c r="J13" s="47" t="str">
        <x:v>Analyst assumption; Low: no Nexora operational observations</x:v>
      </x:c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50" customHeight="1">
      <x:c r="A14" s="1"/>
      <x:c r="B14" s="1"/>
      <x:c r="C14" s="3" t="str">
        <x:v>A09</x:v>
      </x:c>
      <x:c r="D14" s="47" t="str">
        <x:v>Marginal route-mix gradient</x:v>
      </x:c>
      <x:c r="E14" s="47" t="str">
        <x:v>3500 / 6000 / 10000 / 14000</x:v>
      </x:c>
      <x:c r="F14" s="47" t="str">
        <x:v>IDR/parcel</x:v>
      </x:c>
      <x:c r="G14" s="47" t="n">
        <x:v>0</x:v>
      </x:c>
      <x:c r="H14" s="47" t="n">
        <x:v>1.8</x:v>
      </x:c>
      <x:c r="I14" s="47" t="str">
        <x:v>Coefficient applied above historical internal volume; structural multipliers0 and1.8 tested.</x:v>
      </x:c>
      <x:c r="J14" s="47" t="str">
        <x:v>Analyst assumption; Low: no Nexora operational observations</x:v>
      </x:c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50" customHeight="1">
      <x:c r="A15" s="1"/>
      <x:c r="B15" s="1"/>
      <x:c r="C15" s="3" t="str">
        <x:v>A10</x:v>
      </x:c>
      <x:c r="D15" s="47" t="str">
        <x:v>Software productivity improvement</x:v>
      </x:c>
      <x:c r="E15" s="47" t="n">
        <x:v>0.03</x:v>
      </x:c>
      <x:c r="F15" s="47" t="str">
        <x:v>affected-component fraction</x:v>
      </x:c>
      <x:c r="G15" s="47" t="n">
        <x:v>0</x:v>
      </x:c>
      <x:c r="H15" s="47" t="n">
        <x:v>0.07</x:v>
      </x:c>
      <x:c r="I15" s="47" t="str">
        <x:v>Triangular(0,.03,.07); only65% of variable cost affected. J&amp;T establishes possibility, not this effect.</x:v>
      </x:c>
      <x:c r="J15" s="47" t="str">
        <x:v>SRC_JT; Low; SRC_JT is context, not a saving estimate</x:v>
      </x:c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50" customHeight="1">
      <x:c r="A16" s="1"/>
      <x:c r="B16" s="1"/>
      <x:c r="C16" s="3" t="str">
        <x:v>A11</x:v>
      </x:c>
      <x:c r="D16" s="47" t="str">
        <x:v>Traffic-sensitive variable cost share</x:v>
      </x:c>
      <x:c r="E16" s="47" t="n">
        <x:v>0.45</x:v>
      </x:c>
      <x:c r="F16" s="47" t="str">
        <x:v>fraction</x:v>
      </x:c>
      <x:c r="G16" s="47" t="n">
        <x:v>0.3</x:v>
      </x:c>
      <x:c r="H16" s="47" t="n">
        <x:v>0.6</x:v>
      </x:c>
      <x:c r="I16" s="47" t="str">
        <x:v>Labour/vehicle time exposure, handling remainder. Traffic lognormal correlated with demand.</x:v>
      </x:c>
      <x:c r="J16" s="47" t="str">
        <x:v>Analyst assumption; Low: no Nexora operational observations</x:v>
      </x:c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50" customHeight="1">
      <x:c r="A17" s="1"/>
      <x:c r="B17" s="1"/>
      <x:c r="C17" s="3" t="str">
        <x:v>A12</x:v>
      </x:c>
      <x:c r="D17" s="47" t="str">
        <x:v>Affected software cost share</x:v>
      </x:c>
      <x:c r="E17" s="47" t="n">
        <x:v>0.65</x:v>
      </x:c>
      <x:c r="F17" s="47" t="str">
        <x:v>fraction</x:v>
      </x:c>
      <x:c r="G17" s="47" t="n">
        <x:v>0.45</x:v>
      </x:c>
      <x:c r="H17" s="47" t="n">
        <x:v>0.8</x:v>
      </x:c>
      <x:c r="I17" s="47" t="str">
        <x:v>Software changes dispatch/route-related components, not all committed costs.</x:v>
      </x:c>
      <x:c r="J17" s="47" t="str">
        <x:v>Analyst assumption; Low: no Nexora operational observations</x:v>
      </x:c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50" customHeight="1">
      <x:c r="A18" s="1"/>
      <x:c r="B18" s="1"/>
      <x:c r="C18" s="3" t="str">
        <x:v>A13</x:v>
      </x:c>
      <x:c r="D18" s="47" t="str">
        <x:v>Software capacity release at3% productivity</x:v>
      </x:c>
      <x:c r="E18" s="47" t="n">
        <x:v>0.02</x:v>
      </x:c>
      <x:c r="F18" s="47" t="str">
        <x:v>capacity fraction</x:v>
      </x:c>
      <x:c r="G18" s="47" t="n">
        <x:v>0</x:v>
      </x:c>
      <x:c r="H18" s="47" t="n">
        <x:v>0.0467</x:v>
      </x:c>
      <x:c r="I18" s="47" t="str">
        <x:v>Small planning/leakage recovery; linear with productivity, phased with adoption.</x:v>
      </x:c>
      <x:c r="J18" s="47" t="str">
        <x:v>Analyst assumption; Low: no Nexora operational observations</x:v>
      </x:c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50" customHeight="1">
      <x:c r="A19" s="1"/>
      <x:c r="B19" s="1"/>
      <x:c r="C19" s="3" t="str">
        <x:v>A14</x:v>
      </x:c>
      <x:c r="D19" s="47" t="str">
        <x:v>Software initial capex</x:v>
      </x:c>
      <x:c r="E19" s="47" t="n">
        <x:v>0.18</x:v>
      </x:c>
      <x:c r="F19" s="47" t="str">
        <x:v>IDR tn</x:v>
      </x:c>
      <x:c r="G19" s="47" t="n">
        <x:v>0.162</x:v>
      </x:c>
      <x:c r="H19" s="47" t="n">
        <x:v>0.27</x:v>
      </x:c>
      <x:c r="I19" s="47" t="str">
        <x:v>Rp120bn development plusRp60bn capitalisable integration; estimate, not vendor quote.</x:v>
      </x:c>
      <x:c r="J19" s="47" t="str">
        <x:v>Analyst assumption; Low: no Nexora operational observations</x:v>
      </x:c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50" customHeight="1">
      <x:c r="A20" s="1"/>
      <x:c r="B20" s="1"/>
      <x:c r="C20" s="3" t="str">
        <x:v>A15</x:v>
      </x:c>
      <x:c r="D20" s="47" t="str">
        <x:v>Software recurring opex</x:v>
      </x:c>
      <x:c r="E20" s="47" t="n">
        <x:v>0.045</x:v>
      </x:c>
      <x:c r="F20" s="47" t="str">
        <x:v>IDR tn/year</x:v>
      </x:c>
      <x:c r="G20" s="47" t="n">
        <x:v>0.03</x:v>
      </x:c>
      <x:c r="H20" s="47" t="n">
        <x:v>0.07</x:v>
      </x:c>
      <x:c r="I20" s="47" t="str">
        <x:v>Cloud/support/license/cyber operations allowance; includes optional analytics, no live AI requirement.</x:v>
      </x:c>
      <x:c r="J20" s="47" t="str">
        <x:v>Analyst assumption; Low: no Nexora operational observations</x:v>
      </x:c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50" customHeight="1">
      <x:c r="A21" s="1"/>
      <x:c r="B21" s="1"/>
      <x:c r="C21" s="3" t="str">
        <x:v>A16</x:v>
      </x:c>
      <x:c r="D21" s="47" t="str">
        <x:v>Software transition expense</x:v>
      </x:c>
      <x:c r="E21" s="47" t="n">
        <x:v>0.06</x:v>
      </x:c>
      <x:c r="F21" s="47" t="str">
        <x:v>IDR tn Year1</x:v>
      </x:c>
      <x:c r="G21" s="47" t="n">
        <x:v>0.03</x:v>
      </x:c>
      <x:c r="H21" s="47" t="n">
        <x:v>0.096</x:v>
      </x:c>
      <x:c r="I21" s="47" t="str">
        <x:v>Training, parallel operations and change management; not capitalised.</x:v>
      </x:c>
      <x:c r="J21" s="47" t="str">
        <x:v>Analyst assumption; Low: no Nexora operational observations</x:v>
      </x:c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50" customHeight="1">
      <x:c r="A22" s="1"/>
      <x:c r="B22" s="1"/>
      <x:c r="C22" s="3" t="str">
        <x:v>A17</x:v>
      </x:c>
      <x:c r="D22" s="47" t="str">
        <x:v>Rules recurring/transition costs</x:v>
      </x:c>
      <x:c r="E22" s="47" t="str">
        <x:v>0.008 / 0.015</x:v>
      </x:c>
      <x:c r="F22" s="47" t="str">
        <x:v>IDR tn</x:v>
      </x:c>
      <x:c r="G22" s="47" t="str">
        <x:v>n.a.</x:v>
      </x:c>
      <x:c r="H22" s="47" t="str">
        <x:v>n.a.</x:v>
      </x:c>
      <x:c r="I22" s="47" t="str">
        <x:v>Existing TMS configuration, manual oversight and training; normal current TMS is already present.</x:v>
      </x:c>
      <x:c r="J22" s="47" t="str">
        <x:v>Analyst assumption; Low: no Nexora operational observations</x:v>
      </x:c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50" customHeight="1">
      <x:c r="A23" s="1"/>
      <x:c r="B23" s="1"/>
      <x:c r="C23" s="3" t="str">
        <x:v>A18</x:v>
      </x:c>
      <x:c r="D23" s="47" t="str">
        <x:v>Targeted physical capex</x:v>
      </x:c>
      <x:c r="E23" s="47" t="n">
        <x:v>0.85</x:v>
      </x:c>
      <x:c r="F23" s="47" t="str">
        <x:v>IDR tn</x:v>
      </x:c>
      <x:c r="G23" s="47" t="n">
        <x:v>0.765</x:v>
      </x:c>
      <x:c r="H23" s="47" t="n">
        <x:v>1.275</x:v>
      </x:c>
      <x:c r="I23" s="47" t="str">
        <x:v>Vehicle/linehaul equipment30%,sortation40%,leasehold upgrades30%; no land purchase. Operations capacity+190m/year.</x:v>
      </x:c>
      <x:c r="J23" s="47" t="str">
        <x:v>Analyst assumption; Low: no Nexora operational observations</x:v>
      </x:c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50" customHeight="1">
      <x:c r="A24" s="1"/>
      <x:c r="B24" s="1"/>
      <x:c r="C24" s="3" t="str">
        <x:v>A19</x:v>
      </x:c>
      <x:c r="D24" s="47" t="str">
        <x:v>Large physical capex</x:v>
      </x:c>
      <x:c r="E24" s="47" t="n">
        <x:v>3.6</x:v>
      </x:c>
      <x:c r="F24" s="47" t="str">
        <x:v>IDR tn</x:v>
      </x:c>
      <x:c r="G24" s="47" t="n">
        <x:v>3.24</x:v>
      </x:c>
      <x:c r="H24" s="47" t="n">
        <x:v>5.4</x:v>
      </x:c>
      <x:c r="I24" s="47" t="str">
        <x:v>Vehicles30%,sortation40%,leasehold30%; +600m/year. Larger size does not ensure value.</x:v>
      </x:c>
      <x:c r="J24" s="47" t="str">
        <x:v>Analyst assumption; Low: no Nexora operational observations</x:v>
      </x:c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50" customHeight="1">
      <x:c r="A25" s="1"/>
      <x:c r="B25" s="1"/>
      <x:c r="C25" s="3" t="str">
        <x:v>A20</x:v>
      </x:c>
      <x:c r="D25" s="47" t="str">
        <x:v>Added annual capacity targeted</x:v>
      </x:c>
      <x:c r="E25" s="47" t="str">
        <x:v>0.08 / 0.08 / 0.03 / 0</x:v>
      </x:c>
      <x:c r="F25" s="47" t="str">
        <x:v>bn parcels/year</x:v>
      </x:c>
      <x:c r="G25" s="47" t="str">
        <x:v>n.a.</x:v>
      </x:c>
      <x:c r="H25" s="47" t="str">
        <x:v>n.a.</x:v>
      </x:c>
      <x:c r="I25" s="47" t="str">
        <x:v>Shift, fleet, sortation and labour headroom must all be delivered; phase35/80/100%.</x:v>
      </x:c>
      <x:c r="J25" s="47" t="str">
        <x:v>Analyst assumption; Low: no Nexora operational observations</x:v>
      </x:c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50" customHeight="1">
      <x:c r="A26" s="1"/>
      <x:c r="B26" s="1"/>
      <x:c r="C26" s="3" t="str">
        <x:v>A21</x:v>
      </x:c>
      <x:c r="D26" s="47" t="str">
        <x:v>Added annual capacity large</x:v>
      </x:c>
      <x:c r="E26" s="47" t="str">
        <x:v>0.22 / 0.22 / 0.12 / 0.04</x:v>
      </x:c>
      <x:c r="F26" s="47" t="str">
        <x:v>bn parcels/year</x:v>
      </x:c>
      <x:c r="G26" s="47" t="str">
        <x:v>n.a.</x:v>
      </x:c>
      <x:c r="H26" s="47" t="str">
        <x:v>n.a.</x:v>
      </x:c>
      <x:c r="I26" s="47" t="str">
        <x:v>Phase15/60/90/100%; unused/stranded capacity still costs money.</x:v>
      </x:c>
      <x:c r="J26" s="47" t="str">
        <x:v>Analyst assumption; Low: no Nexora operational observations</x:v>
      </x:c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50" customHeight="1">
      <x:c r="A27" s="1"/>
      <x:c r="B27" s="1"/>
      <x:c r="C27" s="3" t="str">
        <x:v>A22</x:v>
      </x:c>
      <x:c r="D27" s="47" t="str">
        <x:v>Expansion fixed cash opex targeted/large</x:v>
      </x:c>
      <x:c r="E27" s="47" t="str">
        <x:v>0.15 / 0.55</x:v>
      </x:c>
      <x:c r="F27" s="47" t="str">
        <x:v>IDR tn/year</x:v>
      </x:c>
      <x:c r="G27" s="47" t="str">
        <x:v>n.a.</x:v>
      </x:c>
      <x:c r="H27" s="47" t="str">
        <x:v>n.a.</x:v>
      </x:c>
      <x:c r="I27" s="47" t="str">
        <x:v>Staffing/leases, scaled by rollout; added variable labour already in parcel cost.</x:v>
      </x:c>
      <x:c r="J27" s="47" t="str">
        <x:v>Analyst assumption; Low: no Nexora operational observations</x:v>
      </x:c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50" customHeight="1">
      <x:c r="A28" s="1"/>
      <x:c r="B28" s="1"/>
      <x:c r="C28" s="3" t="str">
        <x:v>A23</x:v>
      </x:c>
      <x:c r="D28" s="47" t="str">
        <x:v>Physical maintenance</x:v>
      </x:c>
      <x:c r="E28" s="47" t="n">
        <x:v>0.03</x:v>
      </x:c>
      <x:c r="F28" s="47" t="str">
        <x:v>physical capex fraction/year</x:v>
      </x:c>
      <x:c r="G28" s="47" t="n">
        <x:v>0.02</x:v>
      </x:c>
      <x:c r="H28" s="47" t="n">
        <x:v>0.05</x:v>
      </x:c>
      <x:c r="I28" s="47" t="str">
        <x:v>Included once in package recurring cost; not a second cash-flow deduction.</x:v>
      </x:c>
      <x:c r="J28" s="47" t="str">
        <x:v>Analyst assumption; Low: no Nexora operational observations</x:v>
      </x:c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50" customHeight="1">
      <x:c r="A29" s="1"/>
      <x:c r="B29" s="1"/>
      <x:c r="C29" s="3" t="str">
        <x:v>A24</x:v>
      </x:c>
      <x:c r="D29" s="47" t="str">
        <x:v>Software economic life</x:v>
      </x:c>
      <x:c r="E29" s="47" t="n">
        <x:v>4</x:v>
      </x:c>
      <x:c r="F29" s="47" t="str">
        <x:v>years</x:v>
      </x:c>
      <x:c r="G29" s="47" t="n">
        <x:v>3</x:v>
      </x:c>
      <x:c r="H29" s="47" t="n">
        <x:v>5</x:v>
      </x:c>
      <x:c r="I29" s="47" t="str">
        <x:v>Technology refresh risk; half-year first/last depreciation.50% refresh atYear5.</x:v>
      </x:c>
      <x:c r="J29" s="47" t="str">
        <x:v>Analyst assumption; Low: no Nexora operational observations</x:v>
      </x:c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50" customHeight="1">
      <x:c r="A30" s="1"/>
      <x:c r="B30" s="1"/>
      <x:c r="C30" s="3" t="str">
        <x:v>A25</x:v>
      </x:c>
      <x:c r="D30" s="47" t="str">
        <x:v>Physical economic lives</x:v>
      </x:c>
      <x:c r="E30" s="47" t="str">
        <x:v>5 / 8 / 10</x:v>
      </x:c>
      <x:c r="F30" s="47" t="str">
        <x:v>years</x:v>
      </x:c>
      <x:c r="G30" s="47" t="str">
        <x:v>n.a.</x:v>
      </x:c>
      <x:c r="H30" s="47" t="str">
        <x:v>n.a.</x:v>
      </x:c>
      <x:c r="I30" s="47" t="str">
        <x:v>Vehicles5, sortation8, leasehold10; longer engineering life does not imply longer commercial life.</x:v>
      </x:c>
      <x:c r="J30" s="47" t="str">
        <x:v>Analyst assumption; Low: no Nexora operational observations</x:v>
      </x:c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50" customHeight="1">
      <x:c r="A31" s="1"/>
      <x:c r="B31" s="1"/>
      <x:c r="C31" s="3" t="str">
        <x:v>A26</x:v>
      </x:c>
      <x:c r="D31" s="47" t="str">
        <x:v>Evaluation horizon</x:v>
      </x:c>
      <x:c r="E31" s="47" t="n">
        <x:v>5</x:v>
      </x:c>
      <x:c r="F31" s="47" t="str">
        <x:v>years</x:v>
      </x:c>
      <x:c r="G31" s="47" t="n">
        <x:v>3</x:v>
      </x:c>
      <x:c r="H31" s="47" t="n">
        <x:v>7</x:v>
      </x:c>
      <x:c r="I31" s="47" t="str">
        <x:v>Covers primary vehicle/software cycle;3/7 tested with replacements; no perpetuity terminal value.</x:v>
      </x:c>
      <x:c r="J31" s="47" t="str">
        <x:v>Analyst assumption; Low: no Nexora operational observations</x:v>
      </x:c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50" customHeight="1">
      <x:c r="A32" s="1"/>
      <x:c r="B32" s="1"/>
      <x:c r="C32" s="3" t="str">
        <x:v>A27</x:v>
      </x:c>
      <x:c r="D32" s="47" t="str">
        <x:v>Nominal IDR discount rate</x:v>
      </x:c>
      <x:c r="E32" s="47" t="n">
        <x:v>0.14</x:v>
      </x:c>
      <x:c r="F32" s="47" t="str">
        <x:v>annual rate</x:v>
      </x:c>
      <x:c r="G32" s="47" t="n">
        <x:v>0.11</x:v>
      </x:c>
      <x:c r="H32" s="47" t="n">
        <x:v>0.18</x:v>
      </x:c>
      <x:c r="I32" s="47" t="str">
        <x:v>Above official5-year sovereign7.245%; spread2.755–10.755pp authored risk allowance, not observed Nexora WACC.</x:v>
      </x:c>
      <x:c r="J32" s="47" t="str">
        <x:v>SRC_ADB; SRC_BI; Low: no Nexora operational observations</x:v>
      </x:c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50" customHeight="1">
      <x:c r="A33" s="1"/>
      <x:c r="B33" s="1"/>
      <x:c r="C33" s="3" t="str">
        <x:v>A28</x:v>
      </x:c>
      <x:c r="D33" s="47" t="str">
        <x:v>Corporate tax applied</x:v>
      </x:c>
      <x:c r="E33" s="47" t="n">
        <x:v>0.22</x:v>
      </x:c>
      <x:c r="F33" s="47" t="str">
        <x:v>rate</x:v>
      </x:c>
      <x:c r="G33" s="47" t="n">
        <x:v>0.19</x:v>
      </x:c>
      <x:c r="H33" s="47" t="n">
        <x:v>0.22</x:v>
      </x:c>
      <x:c r="I33" s="47" t="str">
        <x:v>General rate; no unverified listing relief. Incremental losses receive no immediate tax credit; conservative.</x:v>
      </x:c>
      <x:c r="J33" s="47" t="str">
        <x:v>SRC_DJP; Low: no Nexora operational observations</x:v>
      </x:c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50" customHeight="1">
      <x:c r="A34" s="1"/>
      <x:c r="B34" s="1"/>
      <x:c r="C34" s="3" t="str">
        <x:v>A29</x:v>
      </x:c>
      <x:c r="D34" s="47" t="str">
        <x:v>Nominal logistics cost inflation</x:v>
      </x:c>
      <x:c r="E34" s="47" t="n">
        <x:v>0.025</x:v>
      </x:c>
      <x:c r="F34" s="47" t="str">
        <x:v>annual rate</x:v>
      </x:c>
      <x:c r="G34" s="47" t="n">
        <x:v>0</x:v>
      </x:c>
      <x:c r="H34" s="47" t="n">
        <x:v>0.06</x:v>
      </x:c>
      <x:c r="I34" s="47" t="str">
        <x:v>Triangular(0,.025,.06); central2.5 uses inflation target as context, not a courier forecast.</x:v>
      </x:c>
      <x:c r="J34" s="47" t="str">
        <x:v>SRC_BI; Low: no Nexora operational observations</x:v>
      </x:c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50" customHeight="1">
      <x:c r="A35" s="1"/>
      <x:c r="B35" s="1"/>
      <x:c r="C35" s="3" t="str">
        <x:v>A30</x:v>
      </x:c>
      <x:c r="D35" s="47" t="str">
        <x:v>Other net operating-profit change</x:v>
      </x:c>
      <x:c r="E35" s="47" t="n">
        <x:v>0</x:v>
      </x:c>
      <x:c r="F35" s="47" t="str">
        <x:v>IDR tn per elapsed year</x:v>
      </x:c>
      <x:c r="G35" s="47" t="n">
        <x:v>-0.3</x:v>
      </x:c>
      <x:c r="H35" s="47" t="n">
        <x:v>0.3</x:v>
      </x:c>
      <x:c r="I35" s="47" t="str">
        <x:v>Bridge assumption, not a claimRp11tn residual is wholly fixed. Includes all non-logistics net effects. Break-even required drift separately calculated.</x:v>
      </x:c>
      <x:c r="J35" s="47" t="str">
        <x:v>Analyst assumption; Low: no Nexora operational observations</x:v>
      </x:c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50" customHeight="1">
      <x:c r="A36" s="1"/>
      <x:c r="B36" s="1"/>
      <x:c r="C36" s="3" t="str">
        <x:v>A31</x:v>
      </x:c>
      <x:c r="D36" s="47" t="str">
        <x:v>Tax-loss treatment</x:v>
      </x:c>
      <x:c r="E36" s="47" t="n">
        <x:v>0</x:v>
      </x:c>
      <x:c r="F36" s="47" t="str">
        <x:v>immediate incremental loss credit</x:v>
      </x:c>
      <x:c r="G36" s="47" t="n">
        <x:v>0</x:v>
      </x:c>
      <x:c r="H36" s="47" t="n">
        <x:v>1</x:v>
      </x:c>
      <x:c r="I36" s="47" t="str">
        <x:v>No immediate credit for negative project EBIT. Group taxable profit and legal offset availability unverified.</x:v>
      </x:c>
      <x:c r="J36" s="47" t="str">
        <x:v>Analyst assumption; Low: no Nexora operational observations</x:v>
      </x:c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50" customHeight="1">
      <x:c r="A37" s="1"/>
      <x:c r="B37" s="1"/>
      <x:c r="C37" s="3" t="str">
        <x:v>A32</x:v>
      </x:c>
      <x:c r="D37" s="47" t="str">
        <x:v>Working capital</x:v>
      </x:c>
      <x:c r="E37" s="47" t="str">
        <x:v>0.01 / 0.02</x:v>
      </x:c>
      <x:c r="F37" s="47" t="str">
        <x:v>fraction software/physical capex</x:v>
      </x:c>
      <x:c r="G37" s="47" t="n">
        <x:v>0</x:v>
      </x:c>
      <x:c r="H37" s="47" t="n">
        <x:v>0.04</x:v>
      </x:c>
      <x:c r="I37" s="47" t="str">
        <x:v>Initial deployment support inventory/deposits; released at horizon, no negative working-capital benefit.</x:v>
      </x:c>
      <x:c r="J37" s="47" t="str">
        <x:v>Analyst assumption; Low: no Nexora operational observations</x:v>
      </x:c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50" customHeight="1">
      <x:c r="A38" s="1"/>
      <x:c r="B38" s="1"/>
      <x:c r="C38" s="3" t="str">
        <x:v>A33</x:v>
      </x:c>
      <x:c r="D38" s="47" t="str">
        <x:v>Physical salvage</x:v>
      </x:c>
      <x:c r="E38" s="47" t="n">
        <x:v>0.35</x:v>
      </x:c>
      <x:c r="F38" s="47" t="str">
        <x:v>fraction remaining book value</x:v>
      </x:c>
      <x:c r="G38" s="47" t="n">
        <x:v>0</x:v>
      </x:c>
      <x:c r="H38" s="47" t="n">
        <x:v>0.6</x:v>
      </x:c>
      <x:c r="I38" s="47" t="str">
        <x:v>Conservative realisation at selected horizon; software zero. No loss tax credit. Salvage sensitivity supplied.</x:v>
      </x:c>
      <x:c r="J38" s="47" t="str">
        <x:v>Analyst assumption; Low: no Nexora operational observations</x:v>
      </x:c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50" customHeight="1">
      <x:c r="A39" s="1"/>
      <x:c r="B39" s="1"/>
      <x:c r="C39" s="3" t="str">
        <x:v>A34</x:v>
      </x:c>
      <x:c r="D39" s="47" t="str">
        <x:v>Implementation overrun</x:v>
      </x:c>
      <x:c r="E39" s="47" t="n">
        <x:v>1</x:v>
      </x:c>
      <x:c r="F39" s="47" t="str">
        <x:v>multiple</x:v>
      </x:c>
      <x:c r="G39" s="47" t="n">
        <x:v>0.9</x:v>
      </x:c>
      <x:c r="H39" s="47" t="n">
        <x:v>1.5</x:v>
      </x:c>
      <x:c r="I39" s="47" t="str">
        <x:v>Triangular(.9,1,1.5), expected1.133; central1.0 differs from mean. Higher-overrun stress1.6.</x:v>
      </x:c>
      <x:c r="J39" s="47" t="str">
        <x:v>Analyst assumption; Low: no Nexora operational observations</x:v>
      </x:c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50" customHeight="1">
      <x:c r="A40" s="1"/>
      <x:c r="B40" s="1"/>
      <x:c r="C40" s="3" t="str">
        <x:v>A35</x:v>
      </x:c>
      <x:c r="D40" s="47" t="str">
        <x:v>Adoption multiplier</x:v>
      </x:c>
      <x:c r="E40" s="47" t="n">
        <x:v>0.9</x:v>
      </x:c>
      <x:c r="F40" s="47" t="str">
        <x:v>fraction</x:v>
      </x:c>
      <x:c r="G40" s="47" t="n">
        <x:v>0.5</x:v>
      </x:c>
      <x:c r="H40" s="47" t="n">
        <x:v>1.05</x:v>
      </x:c>
      <x:c r="I40" s="47" t="str">
        <x:v>Triangular(.5,.9,1.05), clipped1 for ramp; central perfect planned rollout1.0. Not the mean of draws.</x:v>
      </x:c>
      <x:c r="J40" s="47" t="str">
        <x:v>Analyst assumption; Low: no Nexora operational observations</x:v>
      </x:c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50" customHeight="1">
      <x:c r="A41" s="1"/>
      <x:c r="B41" s="1"/>
      <x:c r="C41" s="3" t="str">
        <x:v>A36</x:v>
      </x:c>
      <x:c r="D41" s="47" t="str">
        <x:v>Reserved external capacity</x:v>
      </x:c>
      <x:c r="E41" s="47" t="n">
        <x:v>1.65</x:v>
      </x:c>
      <x:c r="F41" s="47" t="str">
        <x:v>baseline external multiple</x:v>
      </x:c>
      <x:c r="G41" s="47" t="str">
        <x:v>n.a.</x:v>
      </x:c>
      <x:c r="H41" s="47" t="str">
        <x:v>n.a.</x:v>
      </x:c>
      <x:c r="I41" s="47" t="str">
        <x:v>Plus type absolute buffers40/40/30/15m parcels/year; availability shrinks with travel disruption.</x:v>
      </x:c>
      <x:c r="J41" s="47" t="str">
        <x:v>Analyst assumption; Low: no Nexora operational observations</x:v>
      </x:c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50" customHeight="1">
      <x:c r="A42" s="1"/>
      <x:c r="B42" s="1"/>
      <x:c r="C42" s="3" t="str">
        <x:v>A37</x:v>
      </x:c>
      <x:c r="D42" s="47" t="str">
        <x:v>Service thresholds</x:v>
      </x:c>
      <x:c r="E42" s="47" t="str">
        <x:v>0.995 / 0.95 / 0.1</x:v>
      </x:c>
      <x:c r="F42" s="47" t="str">
        <x:v>served/planning-feasible/world-violation limits</x:v>
      </x:c>
      <x:c r="G42" s="47" t="str">
        <x:v>n.a.</x:v>
      </x:c>
      <x:c r="H42" s="47" t="str">
        <x:v>n.a.</x:v>
      </x:c>
      <x:c r="I42" s="47" t="str">
        <x:v>≥99.5% served;≥95% planning feasibility;≤10% worlds with any annual violation. Candidate must also not worsen matched current mean feasibility or world violation fraction. These are author safeguards, not case SLAs.</x:v>
      </x:c>
      <x:c r="J42" s="47" t="str">
        <x:v>Analyst assumption; Low: no Nexora operational observations</x:v>
      </x:c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50" customHeight="1">
      <x:c r="A43" s="1"/>
      <x:c r="B43" s="1"/>
      <x:c r="C43" s="3" t="str">
        <x:v>A38</x:v>
      </x:c>
      <x:c r="D43" s="47" t="str">
        <x:v>Parameter vs operating uncertainty</x:v>
      </x:c>
      <x:c r="E43" s="47" t="str">
        <x:v>n.a.</x:v>
      </x:c>
      <x:c r="F43" s="47" t="str">
        <x:v>see model.py</x:v>
      </x:c>
      <x:c r="G43" s="47" t="str">
        <x:v>n.a.</x:v>
      </x:c>
      <x:c r="H43" s="47" t="str">
        <x:v>n.a.</x:v>
      </x:c>
      <x:c r="I43" s="47" t="str">
        <x:v>Persistent: inflation, overrun, adoption, efficiency, common demand/cost factors. Annual: travel/input/external/capacity/daily surges. Demand and travel share a normal factor; input and carrier price share cost factor.</x:v>
      </x:c>
      <x:c r="J43" s="47" t="str">
        <x:v>Analyst assumption; Low: no Nexora operational observations</x:v>
      </x:c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50" customHeight="1">
      <x:c r="A44" s="1"/>
      <x:c r="B44" s="1"/>
      <x:c r="C44" s="3" t="str">
        <x:v>A39</x:v>
      </x:c>
      <x:c r="D44" s="47" t="str">
        <x:v>Risk score weight</x:v>
      </x:c>
      <x:c r="E44" s="47" t="n">
        <x:v>0.5</x:v>
      </x:c>
      <x:c r="F44" s="47" t="str">
        <x:v>E[NPV]-weight*(E-p10)</x:v>
      </x:c>
      <x:c r="G44" s="47" t="n">
        <x:v>0</x:v>
      </x:c>
      <x:c r="H44" s="47" t="n">
        <x:v>1</x:v>
      </x:c>
      <x:c r="I44" s="47" t="str">
        <x:v>Downside preference;0,.25,.5,1 tested. All strict annual-profit-growth failures remain disqualifying.</x:v>
      </x:c>
      <x:c r="J44" s="47" t="str">
        <x:v>Analyst assumption; Low: no Nexora operational observations</x:v>
      </x:c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50" customHeight="1">
      <x:c r="A45" s="1"/>
      <x:c r="B45" s="1"/>
      <x:c r="C45" s="3" t="str">
        <x:v>A40</x:v>
      </x:c>
      <x:c r="D45" s="47" t="str">
        <x:v>Regional national-volume allocation</x:v>
      </x:c>
      <x:c r="E45" s="47" t="n">
        <x:v>0.2</x:v>
      </x:c>
      <x:c r="F45" s="47" t="str">
        <x:v>national parcel fraction</x:v>
      </x:c>
      <x:c r="G45" s="47" t="n">
        <x:v>0.12</x:v>
      </x:c>
      <x:c r="H45" s="47" t="n">
        <x:v>0.25</x:v>
      </x:c>
      <x:c r="I45" s="47" t="str">
        <x:v>400m/year,1.096m/day on365 days; selected metropolitan corridor markets, not every national parcel. Proxy scale sensitivities provided as controls; no regional saving multiplied nationally.</x:v>
      </x:c>
      <x:c r="J45" s="47" t="str">
        <x:v>Analyst assumption; Low: no Nexora operational observations</x:v>
      </x:c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50" customHeight="1">
      <x:c r="A46" s="1"/>
      <x:c r="B46" s="1"/>
      <x:c r="C46" s="3" t="str">
        <x:v>A41</x:v>
      </x:c>
      <x:c r="D46" s="47" t="str">
        <x:v>Regional demand proxy weights</x:v>
      </x:c>
      <x:c r="E46" s="47" t="str">
        <x:v>0.8 / 0.2</x:v>
      </x:c>
      <x:c r="F46" s="47" t="str">
        <x:v>population/activity blend</x:v>
      </x:c>
      <x:c r="G46" s="47" t="n">
        <x:v>0</x:v>
      </x:c>
      <x:c r="H46" s="47" t="n">
        <x:v>1</x:v>
      </x:c>
      <x:c r="I46" s="47" t="str">
        <x:v>Nine catchment proxies; activity scores authored, not measured merchant counts. Population-only,activity-only,uniform and18-zone comparison executed.</x:v>
      </x:c>
      <x:c r="J46" s="47" t="str">
        <x:v>Analyst assumption; Low: no Nexora operational observations</x:v>
      </x:c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50" customHeight="1">
      <x:c r="A47" s="1"/>
      <x:c r="B47" s="1"/>
      <x:c r="C47" s="3" t="str">
        <x:v>A42</x:v>
      </x:c>
      <x:c r="D47" s="47" t="str">
        <x:v>Regional average corridor speed</x:v>
      </x:c>
      <x:c r="E47" s="47" t="n">
        <x:v>30</x:v>
      </x:c>
      <x:c r="F47" s="47" t="str">
        <x:v>km/hour</x:v>
      </x:c>
      <x:c r="G47" s="47" t="n">
        <x:v>20</x:v>
      </x:c>
      <x:c r="H47" s="47" t="n">
        <x:v>40</x:v>
      </x:c>
      <x:c r="I47" s="47" t="str">
        <x:v>Estimated effective van/truck speed, not legal limit or measured traffic.60/90-minute controls would be estimates.</x:v>
      </x:c>
      <x:c r="J47" s="47" t="str">
        <x:v>Analyst assumption; Low: no Nexora operational observations</x:v>
      </x:c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50" customHeight="1">
      <x:c r="A48" s="1"/>
      <x:c r="B48" s="1"/>
      <x:c r="C48" s="3" t="str">
        <x:v>A43</x:v>
      </x:c>
      <x:c r="D48" s="47" t="str">
        <x:v>Regional time feasibility limit</x:v>
      </x:c>
      <x:c r="E48" s="47" t="n">
        <x:v>120</x:v>
      </x:c>
      <x:c r="F48" s="47" t="str">
        <x:v>one-way corridor minutes</x:v>
      </x:c>
      <x:c r="G48" s="47" t="n">
        <x:v>90</x:v>
      </x:c>
      <x:c r="H48" s="47" t="n">
        <x:v>150</x:v>
      </x:c>
      <x:c r="I48" s="47" t="str">
        <x:v>Two-hour linehaul accessibility filter; not an observed delivery promise. Local access/last mile separately unresolved.</x:v>
      </x:c>
      <x:c r="J48" s="47" t="str">
        <x:v>Analyst assumption; Low: no Nexora operational observations</x:v>
      </x:c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50" customHeight="1">
      <x:c r="A49" s="1"/>
      <x:c r="B49" s="1"/>
      <x:c r="C49" s="3" t="str">
        <x:v>A44</x:v>
      </x:c>
      <x:c r="D49" s="47" t="str">
        <x:v>Regional variable local costs</x:v>
      </x:c>
      <x:c r="E49" s="47" t="str">
        <x:v>2400 / 35000 / 1900 / 0.04 / 3500</x:v>
      </x:c>
      <x:c r="F49" s="47" t="str">
        <x:v>handling;loaded hourly pay;vehicle;failure;retry</x:v>
      </x:c>
      <x:c r="G49" s="47" t="str">
        <x:v>n.a.</x:v>
      </x:c>
      <x:c r="H49" s="47" t="str">
        <x:v>n.a.</x:v>
      </x:c>
      <x:c r="I49" s="47" t="str">
        <x:v>Local cost=2400+35000/stops_per_hour+1900+.04*3500; failure cost once. Stops/hour9–14 authored.</x:v>
      </x:c>
      <x:c r="J49" s="47" t="str">
        <x:v>Analyst assumption; Low: no Nexora operational observations</x:v>
      </x:c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50" customHeight="1">
      <x:c r="A50" s="1"/>
      <x:c r="B50" s="1"/>
      <x:c r="C50" s="3" t="str">
        <x:v>A45</x:v>
      </x:c>
      <x:c r="D50" s="47" t="str">
        <x:v>Regional linehaul cost</x:v>
      </x:c>
      <x:c r="E50" s="47" t="str">
        <x:v>55000 / 900 / 180</x:v>
      </x:c>
      <x:c r="F50" s="47" t="str">
        <x:v>IDR/hour;IDR/km;parcels/load</x:v>
      </x:c>
      <x:c r="G50" s="47" t="str">
        <x:v>n.a.</x:v>
      </x:c>
      <x:c r="H50" s="47" t="str">
        <x:v>n.a.</x:v>
      </x:c>
      <x:c r="I50" s="47" t="str">
        <x:v>Two-way corridor trip cost allocated over180 parcels; fuel/maintenance900 perkm. Routes not last-mile tours.</x:v>
      </x:c>
      <x:c r="J50" s="47" t="str">
        <x:v>Analyst assumption; Low: no Nexora operational observations</x:v>
      </x:c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50" customHeight="1">
      <x:c r="A51" s="1"/>
      <x:c r="B51" s="1"/>
      <x:c r="C51" s="3" t="str">
        <x:v>A46</x:v>
      </x:c>
      <x:c r="D51" s="47" t="str">
        <x:v>Geography coordinates and polygons</x:v>
      </x:c>
      <x:c r="E51" s="47" t="str">
        <x:v>n.a.</x:v>
      </x:c>
      <x:c r="F51" s="47" t="str">
        <x:v>OGC:CRS84</x:v>
      </x:c>
      <x:c r="G51" s="47" t="str">
        <x:v>n.a.</x:v>
      </x:c>
      <x:c r="H51" s="47" t="str">
        <x:v>n.a.</x:v>
      </x:c>
      <x:c r="I51" s="47" t="str">
        <x:v>Approximate authored terminal coordinates and0.05-degree square zones; no administrative boundaries, buildings or road geometries downloaded.</x:v>
      </x:c>
      <x:c r="J51" s="47" t="str">
        <x:v>Analyst assumption; Low: no Nexora operational observations</x:v>
      </x:c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50" customHeight="1">
      <x:c r="A52" s="1"/>
      <x:c r="B52" s="1"/>
      <x:c r="C52" s="3" t="str">
        <x:v>A47</x:v>
      </x:c>
      <x:c r="D52" s="47" t="str">
        <x:v>National allocator information</x:v>
      </x:c>
      <x:c r="E52" s="47" t="str">
        <x:v>n.a.</x:v>
      </x:c>
      <x:c r="F52" s="47" t="str">
        <x:v>adaptive observable operating rates</x:v>
      </x:c>
      <x:c r="G52" s="47" t="str">
        <x:v>n.a.</x:v>
      </x:c>
      <x:c r="H52" s="47" t="str">
        <x:v>n.a.</x:v>
      </x:c>
      <x:c r="I52" s="47" t="str">
        <x:v>Adaptive ranking uses sampled rates/traffic and capacities as if available for planning; fixed-priority sensitivity tests this optimistic information assumption. This is not a causal forecast.</x:v>
      </x:c>
      <x:c r="J52" s="47" t="str">
        <x:v>Analyst assumption; Low: no Nexora operational observations</x:v>
      </x:c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50" customHeight="1">
      <x:c r="A53" s="1"/>
      <x:c r="B53" s="1"/>
      <x:c r="C53" s="3" t="str">
        <x:v>A48</x:v>
      </x:c>
      <x:c r="D53" s="47" t="str">
        <x:v>Deferred handling penalty</x:v>
      </x:c>
      <x:c r="E53" s="47" t="n">
        <x:v>18000</x:v>
      </x:c>
      <x:c r="F53" s="47" t="str">
        <x:v>IDR/deferred parcel</x:v>
      </x:c>
      <x:c r="G53" s="47" t="n">
        <x:v>12000</x:v>
      </x:c>
      <x:c r="H53" s="47" t="n">
        <x:v>24000</x:v>
      </x:c>
      <x:c r="I53" s="47" t="str">
        <x:v>Accounting proxy for escalation/recovery, no lost GMV. Deferred parcels remain visible and are not counted delivered.</x:v>
      </x:c>
      <x:c r="J53" s="47" t="str">
        <x:v>Analyst assumption; Low: no Nexora operational observations</x:v>
      </x:c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21" hidden="0" customWidth="1"/>
    <x:col min="4" max="4" width="57" hidden="0" customWidth="1"/>
    <x:col min="5" max="5" width="48" hidden="0" customWidth="1"/>
    <x:col min="6" max="6" width="76" hidden="0" customWidth="1"/>
    <x:col min="7" max="7" width="85" hidden="0" customWidth="1"/>
    <x:col min="8" max="8" width="8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Primary-source and acquisition register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3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32" customHeight="1">
      <x:c r="A5" s="1"/>
      <x:c r="B5" s="1"/>
      <x:c r="C5" s="13" t="str">
        <x:v>Source ID</x:v>
      </x:c>
      <x:c r="D5" s="14" t="str">
        <x:v>Title</x:v>
      </x:c>
      <x:c r="E5" s="14" t="str">
        <x:v>Date / scope</x:v>
      </x:c>
      <x:c r="F5" s="14" t="str">
        <x:v>Access route and status</x:v>
      </x:c>
      <x:c r="G5" s="14" t="str">
        <x:v>URL</x:v>
      </x:c>
      <x:c r="H5" s="14" t="str">
        <x:v>Observation / license</x:v>
      </x:c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68" customHeight="1">
      <x:c r="A6" s="1"/>
      <x:c r="B6" s="1"/>
      <x:c r="C6" s="55" t="str">
        <x:v>CASE</x:v>
      </x:c>
      <x:c r="D6" s="47" t="str">
        <x:v>Casebook Preliminary IBSC 2026, transcribed in incoming handoff</x:v>
      </x:c>
      <x:c r="E6" s="47" t="str">
        <x:v>2026; Fictional Nexora, Indonesia; pp.7–12</x:v>
      </x:c>
      <x:c r="F6" s="47" t="str">
        <x:v>Incoming Markdown read completely. Original PDF NOT supplied/inspected.</x:v>
      </x:c>
      <x:c r="G6" s="47" t="str">
        <x:v>Supplied extract</x:v>
      </x:c>
      <x:c r="H6" s="47" t="str">
        <x:v>2bn parcels; 50% internal; Rp8,000/Rp12,000; Rp5tn operating profit; see full brief. User-supplied extract; original copyright retained.</x:v>
      </x:c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68" customHeight="1">
      <x:c r="A7" s="1"/>
      <x:c r="B7" s="1"/>
      <x:c r="C7" s="55" t="str">
        <x:v>SRC_GEOAI</x:v>
      </x:c>
      <x:c r="D7" s="47" t="str">
        <x:v>opengeos. geoai-skills</x:v>
      </x:c>
      <x:c r="E7" s="47" t="str">
        <x:v>main inspected 2026-10-27; commit not retrievable; Claude Code plugin using geoai-py</x:v>
      </x:c>
      <x:c r="F7" s="47" t="str">
        <x:v>README and overture-data instructions inspected through research service; raw endpoint403; plugin NOT executed.</x:v>
      </x:c>
      <x:c r="G7" s="47" t="str">
        <x:v>https://github.com/opengeos/geoai-skills</x:v>
      </x:c>
      <x:c r="H7" s="47" t="str">
        <x:v>Python3.10+, geoai-py and optional extras; mapped features before object detection. MIT for repository code.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68" customHeight="1">
      <x:c r="A8" s="1"/>
      <x:c r="B8" s="1"/>
      <x:c r="C8" s="55" t="str">
        <x:v>SRC_OVERTURE</x:v>
      </x:c>
      <x:c r="D8" s="47" t="str">
        <x:v>Overture Maps Foundation. Transportation Guide</x:v>
      </x:c>
      <x:c r="E8" s="47" t="str">
        <x:v>2026-10-21.0 release shown in documentation; Global segment/connector schema, access and direction rules</x:v>
      </x:c>
      <x:c r="F8" s="47" t="str">
        <x:v>Documentation inspected; NO Overture dataset downloaded.</x:v>
      </x:c>
      <x:c r="G8" s="47" t="str">
        <x:v>https://docs.overturemaps.org/guides/transportation/</x:v>
      </x:c>
      <x:c r="H8" s="47" t="str">
        <x:v>Topology uses connectors; conditional restrictions cannot be inferred from a line crossing. Dataset-specific attribution/licensing; documentation is not a data acquisition.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68" customHeight="1">
      <x:c r="A9" s="1"/>
      <x:c r="B9" s="1"/>
      <x:c r="C9" s="55" t="str">
        <x:v>SRC_BPJT</x:v>
      </x:c>
      <x:c r="D9" s="47" t="str">
        <x:v>BPJT. Dirgahayu Kota Jakarta Ke-496, ini dia beragam jalan tol yang ada di Jakarta</x:v>
      </x:c>
      <x:c r="E9" s="47" t="str">
        <x:v>2023-06-22; Greater Jakarta toll-road concession lengths, km; NOT street geometry or traffic</x:v>
      </x:c>
      <x:c r="F9" s="47" t="str">
        <x:v>Page text inspected through research service.</x:v>
      </x:c>
      <x:c r="G9" s="47" t="str">
        <x:v>https://bpjt.pu.go.id/dirgahayu-kota-jakarta-ke-496-ini-dia-beragam-jalan-tol-yang-ada-di-jakarta/</x:v>
      </x:c>
      <x:c r="H9" s="47" t="str">
        <x:v>Jakarta–Tangerang33; CTC23.5; eastern inner ring27.05; W2 North7.87; JORR South14.25; Pondok Aren5.55; Becakayu15.28; Desari12.1. Government factual attributes attributed; original page not redistributed wholesale.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68" customHeight="1">
      <x:c r="A10" s="1"/>
      <x:c r="B10" s="1"/>
      <x:c r="C10" s="55" t="str">
        <x:v>SRC_KEPPRES</x:v>
      </x:c>
      <x:c r="D10" s="47" t="str">
        <x:v>Republic of Indonesia. Keputusan Presiden Nomor38 Tahun1981</x:v>
      </x:c>
      <x:c r="E10" s="47" t="str">
        <x:v>1981-08-15; Historical Cawang–Tomang route,16km</x:v>
      </x:c>
      <x:c r="F10" s="47" t="str">
        <x:v>Research service PDF text inspected, Appendix p.3; no local PDF acquired.</x:v>
      </x:c>
      <x:c r="G10" s="47" t="str">
        <x:v>https://bphn.go.id/data/documents/81kp038.pdf</x:v>
      </x:c>
      <x:c r="H10" s="47" t="str">
        <x:v>Historical alignment; current equivalence is an explicit assumption. Indonesian legal text; source attributed.</x:v>
      </x:c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68" customHeight="1">
      <x:c r="A11" s="1"/>
      <x:c r="B11" s="1"/>
      <x:c r="C11" s="55" t="str">
        <x:v>SRC_BPS_DKI</x:v>
      </x:c>
      <x:c r="D11" s="47" t="str">
        <x:v>BPS DKI Jakarta. Population by regency/municipality,2025</x:v>
      </x:c>
      <x:c r="E11" s="47" t="str">
        <x:v>2025 table; Projected resident population, persons; not customers/orders</x:v>
      </x:c>
      <x:c r="F11" s="47" t="str">
        <x:v>Search-index table observations only; direct page403.</x:v>
      </x:c>
      <x:c r="G11" s="47" t="str">
        <x:v>https://jakarta.bps.go.id/en/statistics-table/3/V1ZSbFRUY3lTbFpEYTNsVWNGcDZjek53YkhsNFFUMDkjMyMzMTAw/jumlah-penduduk--laju-pertumbuhan-penduduk--distribusi-persentase-penduduk--kepadatan-penduduk--rasio-jenis-kelamin-penduduk-menurut-kabupaten-kota-di-provinsi-dki-jakarta.html?year=2025</x:v>
      </x:c>
      <x:c r="H11" s="47" t="str">
        <x:v>East3,085,058; West2,487,199; South2,219,220. Used as broad catchment proxies. BPS attribution; no boundaries/raster downloaded.</x:v>
      </x:c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68" customHeight="1">
      <x:c r="A12" s="1"/>
      <x:c r="B12" s="1"/>
      <x:c r="C12" s="55" t="str">
        <x:v>SRC_BPS_JABAR</x:v>
      </x:c>
      <x:c r="D12" s="47" t="str">
        <x:v>BPS Jawa Barat. Population projections by sex and regency/municipality</x:v>
      </x:c>
      <x:c r="E12" s="47" t="str">
        <x:v>2025 table; Projected resident population, persons</x:v>
      </x:c>
      <x:c r="F12" s="47" t="str">
        <x:v>Search-index observations only; direct page403.</x:v>
      </x:c>
      <x:c r="G12" s="47" t="str">
        <x:v>https://jabar.bps.go.id/id/statistics-table/2/OTY3IzI%3D/proyeksi-penduduk-di-provinsi-jawa-barat-menurut-jenis-kelamin-dan-kabupaten-kota.html</x:v>
      </x:c>
      <x:c r="H12" s="47" t="str">
        <x:v>Depok2,167,961; Bekasi city approximately2,648,300. City and regency not combined. BPS attribution.</x:v>
      </x:c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68" customHeight="1">
      <x:c r="A13" s="1"/>
      <x:c r="B13" s="1"/>
      <x:c r="C13" s="55" t="str">
        <x:v>SRC_DJP</x:v>
      </x:c>
      <x:c r="D13" s="47" t="str">
        <x:v>Direktorat Jenderal Pajak. Income Tax Calculation Mechanism Entity</x:v>
      </x:c>
      <x:c r="E13" s="47" t="str">
        <x:v>Current page retrieved2026-10-27; Indonesia corporate income tax; company-specific relief unknown</x:v>
      </x:c>
      <x:c r="F13" s="47" t="str">
        <x:v>Official page inspected.</x:v>
      </x:c>
      <x:c r="G13" s="47" t="str">
        <x:v>https://www.pajak.go.id/id/node/80250</x:v>
      </x:c>
      <x:c r="H13" s="47" t="str">
        <x:v>General corporate rate22%; listed-company19% is conditional and NOT assumed. Source attributed; model tax treatment remains an assumption.</x:v>
      </x:c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68" customHeight="1">
      <x:c r="A14" s="1"/>
      <x:c r="B14" s="1"/>
      <x:c r="C14" s="55" t="str">
        <x:v>SRC_BI</x:v>
      </x:c>
      <x:c r="D14" s="47" t="str">
        <x:v>Bank Indonesia. BI-Rate tetap5,75%: memperkuat stabilitas, mendorong pertumbuhan ekonomi</x:v>
      </x:c>
      <x:c r="E14" s="47" t="str">
        <x:v>2026-10-21; IDR policy rate and inflation target</x:v>
      </x:c>
      <x:c r="F14" s="47" t="str">
        <x:v>Official current release verified through both research engines.</x:v>
      </x:c>
      <x:c r="G14" s="47" t="str">
        <x:v>https://www.bi.go.id/id/publikasi/ruang-media/news-release/Pages/sp_2823326.aspx</x:v>
      </x:c>
      <x:c r="H14" s="47" t="str">
        <x:v>BI-Rate5.75%; inflation target2.5±1% for2026/2027. Policy rate is not project WACC. Official release attributed.</x:v>
      </x:c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68" customHeight="1">
      <x:c r="A15" s="1"/>
      <x:c r="B15" s="1"/>
      <x:c r="C15" s="55" t="str">
        <x:v>SRC_ADB</x:v>
      </x:c>
      <x:c r="D15" s="47" t="str">
        <x:v>Asian Development Bank. AsianBondsOnline: Indonesia Market Watch</x:v>
      </x:c>
      <x:c r="E15" s="47" t="str">
        <x:v>Close2026-10-23; Indonesia nominal government bond yields</x:v>
      </x:c>
      <x:c r="F15" s="47" t="str">
        <x:v>Primary market-data portal verified through both research engines.</x:v>
      </x:c>
      <x:c r="G15" s="47" t="str">
        <x:v>https://asianbondsonline.adb.org/indonesia/</x:v>
      </x:c>
      <x:c r="H15" s="47" t="str">
        <x:v>5yr7.245%;10yr7.446%. Risk-premium spread to project discount rate is authored. Factual snapshot with attribution; no proprietary feed redistributed.</x:v>
      </x:c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68" customHeight="1">
      <x:c r="A16" s="1"/>
      <x:c r="B16" s="1"/>
      <x:c r="C16" s="55" t="str">
        <x:v>SRC_JT</x:v>
      </x:c>
      <x:c r="D16" s="47" t="str">
        <x:v>J&amp;T Express. Reports18.5% YoY revenue growth forFY2025</x:v>
      </x:c>
      <x:c r="E16" s="47" t="str">
        <x:v>2026-04-01 publication; results announced2026-03-30; SEA multi-country network; own accounting and franchise scope</x:v>
      </x:c>
      <x:c r="F16" s="47" t="str">
        <x:v>Operator page inspected.</x:v>
      </x:c>
      <x:c r="G16" s="47" t="str">
        <x:v>https://www.jtexpress.sg/insights/press-jt-express-reports-18.5-yoy-growth?hs_amp=true</x:v>
      </x:c>
      <x:c r="H16" s="47" t="str">
        <x:v>SEA parcel volume7.66bn, growth67.8%; cost/parcelUS$0.48. Plausibility evidence only; no Nexora coefficient imported. Operator release attributed.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68" customHeight="1">
      <x:c r="A17" s="1"/>
      <x:c r="B17" s="1"/>
      <x:c r="C17" s="55" t="str">
        <x:v>SRC_ARCGIS</x:v>
      </x:c>
      <x:c r="D17" s="47" t="str">
        <x:v>DKI Jakarta. Peta Jalan DKI FeatureServer</x:v>
      </x:c>
      <x:c r="E17" s="47" t="str">
        <x:v>Metadata describes2022 base map; DKI road linework metadata; outside-city coverage not established</x:v>
      </x:c>
      <x:c r="F17" s="47" t="str">
        <x:v>Metadata found in search; feature query inaccessible; cloud browser environment denied URL. NO features downloaded.</x:v>
      </x:c>
      <x:c r="G17" s="47" t="str">
        <x:v>https://gis-dpmptsp.jakarta.go.id/arcgis/rest/services/Hosted/Peta_Jalan_DKI/FeatureServer/1</x:v>
      </x:c>
      <x:c r="H17" s="47" t="str">
        <x:v>Potential official GIS source; catalogued only. Redistribution terms not verified; no source data redistributed.</x:v>
      </x:c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68" customHeight="1">
      <x:c r="A18" s="1"/>
      <x:c r="B18" s="1"/>
      <x:c r="C18" s="55" t="str">
        <x:v>SRC_OSM</x:v>
      </x:c>
      <x:c r="D18" s="47" t="str">
        <x:v>OpenStreetMap contributors. Overpass/API endpoints</x:v>
      </x:c>
      <x:c r="E18" s="47" t="str">
        <x:v>Attempt2026-10-27; Requested Greater Jakarta bounding box and buffer</x:v>
      </x:c>
      <x:c r="F18" s="47" t="str">
        <x:v>Direct API403; research-service API queries inaccessible. NO road extract acquired.</x:v>
      </x:c>
      <x:c r="G18" s="47" t="str">
        <x:v>https://overpass-api.de/api/interpreter</x:v>
      </x:c>
      <x:c r="H18" s="47" t="str">
        <x:v>Optional retrieval/preparation script supplied; not used for headline routing. ODbL1.0 if subsequently downloaded. https://www.openstreetmap.org/copyright</x:v>
      </x:c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3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Imported operating results for deterministic finance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 t="str">
        <x:v>Reference operating inflation</x:v>
      </x:c>
      <x:c r="D3" s="20" t="n">
        <x:v>0.025</x:v>
      </x:c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2" customHeight="1">
      <x:c r="A4" s="1"/>
      <x:c r="B4" s="1"/>
      <x:c r="C4" s="13" t="str">
        <x:v>Policy ID</x:v>
      </x:c>
      <x:c r="D4" s="14" t="str">
        <x:v>Package</x:v>
      </x:c>
      <x:c r="E4" s="14" t="str">
        <x:v>Share ceiling</x:v>
      </x:c>
      <x:c r="F4" s="14" t="str">
        <x:v>Buffer</x:v>
      </x:c>
      <x:c r="G4" s="14" t="str">
        <x:v>Software capex</x:v>
      </x:c>
      <x:c r="H4" s="14" t="str">
        <x:v>Physical capex</x:v>
      </x:c>
      <x:c r="I4" s="14" t="str">
        <x:v>Transition</x:v>
      </x:c>
      <x:c r="J4" s="14" t="str">
        <x:v>Y1 real benefit</x:v>
      </x:c>
      <x:c r="K4" s="14" t="str">
        <x:v>Y2 real benefit</x:v>
      </x:c>
      <x:c r="L4" s="14" t="str">
        <x:v>Y3 real benefit</x:v>
      </x:c>
      <x:c r="M4" s="14" t="str">
        <x:v>Y4 real benefit</x:v>
      </x:c>
      <x:c r="N4" s="14" t="str">
        <x:v>Y5 real benefit</x:v>
      </x:c>
      <x:c r="O4" s="14" t="str">
        <x:v>Y6 real benefit</x:v>
      </x:c>
      <x:c r="P4" s="14" t="str">
        <x:v>Y7 real benefit</x:v>
      </x:c>
      <x:c r="Q4" s="14" t="str">
        <x:v>Mean NPV</x:v>
      </x:c>
      <x:c r="R4" s="14" t="str">
        <x:v>p10 NPV</x:v>
      </x:c>
      <x:c r="S4" s="14" t="str">
        <x:v>p90 NPV</x:v>
      </x:c>
      <x:c r="T4" s="14" t="str">
        <x:v>Service violation</x:v>
      </x:c>
      <x:c r="U4" s="4"/>
      <x:c r="V4" s="4"/>
    </x:row>
    <x:row r="5" ht="22" customHeight="1">
      <x:c r="A5" s="1"/>
      <x:c r="B5" s="1"/>
      <x:c r="C5" s="3" t="str">
        <x:v>P_SOFTWARE_75_100</x:v>
      </x:c>
      <x:c r="D5" s="4" t="str">
        <x:v>software</x:v>
      </x:c>
      <x:c r="E5" s="15" t="n">
        <x:v>0.75</x:v>
      </x:c>
      <x:c r="F5" s="15" t="n">
        <x:v>1</x:v>
      </x:c>
      <x:c r="G5" s="4" t="n">
        <x:v>0.18</x:v>
      </x:c>
      <x:c r="H5" s="4" t="n">
        <x:v>0</x:v>
      </x:c>
      <x:c r="I5" s="4" t="n">
        <x:v>0.06</x:v>
      </x:c>
      <x:c r="J5" s="4" t="n">
        <x:v>0.306894243256333</x:v>
      </x:c>
      <x:c r="K5" s="4" t="n">
        <x:v>0.47297514748676234</x:v>
      </x:c>
      <x:c r="L5" s="4" t="n">
        <x:v>0.506397924139386</x:v>
      </x:c>
      <x:c r="M5" s="4" t="n">
        <x:v>0.5063979241393844</x:v>
      </x:c>
      <x:c r="N5" s="4" t="n">
        <x:v>0.5063979241393863</x:v>
      </x:c>
      <x:c r="O5" s="4" t="n">
        <x:v>0.5063979241393863</x:v>
      </x:c>
      <x:c r="P5" s="4" t="n">
        <x:v>0.5063979241393859</x:v>
      </x:c>
      <x:c r="Q5" s="4" t="n">
        <x:v>1.0156906813788231</x:v>
      </x:c>
      <x:c r="R5" s="4" t="n">
        <x:v>0.25807868636316605</x:v>
      </x:c>
      <x:c r="S5" s="4" t="n">
        <x:v>1.8868416951634674</x:v>
      </x:c>
      <x:c r="T5" s="15" t="n">
        <x:v>0.2785</x:v>
      </x:c>
      <x:c r="U5" s="4"/>
      <x:c r="V5" s="4"/>
    </x:row>
    <x:row r="6" ht="22" customHeight="1">
      <x:c r="A6" s="1"/>
      <x:c r="B6" s="1"/>
      <x:c r="C6" s="3" t="str">
        <x:v>P_SOFTWARE_80_100</x:v>
      </x:c>
      <x:c r="D6" s="4" t="str">
        <x:v>software</x:v>
      </x:c>
      <x:c r="E6" s="15" t="n">
        <x:v>0.8</x:v>
      </x:c>
      <x:c r="F6" s="15" t="n">
        <x:v>1</x:v>
      </x:c>
      <x:c r="G6" s="4" t="n">
        <x:v>0.18</x:v>
      </x:c>
      <x:c r="H6" s="4" t="n">
        <x:v>0</x:v>
      </x:c>
      <x:c r="I6" s="4" t="n">
        <x:v>0.06</x:v>
      </x:c>
      <x:c r="J6" s="4" t="n">
        <x:v>0.306894243256333</x:v>
      </x:c>
      <x:c r="K6" s="4" t="n">
        <x:v>0.47297514748676234</x:v>
      </x:c>
      <x:c r="L6" s="4" t="n">
        <x:v>0.506397924139386</x:v>
      </x:c>
      <x:c r="M6" s="4" t="n">
        <x:v>0.5063979241393844</x:v>
      </x:c>
      <x:c r="N6" s="4" t="n">
        <x:v>0.5063979241393863</x:v>
      </x:c>
      <x:c r="O6" s="4" t="n">
        <x:v>0.5063979241393863</x:v>
      </x:c>
      <x:c r="P6" s="4" t="n">
        <x:v>0.5063979241393859</x:v>
      </x:c>
      <x:c r="Q6" s="4" t="n">
        <x:v>1.0156906813788231</x:v>
      </x:c>
      <x:c r="R6" s="4" t="n">
        <x:v>0.25807868636316605</x:v>
      </x:c>
      <x:c r="S6" s="4" t="n">
        <x:v>1.8868416951634674</x:v>
      </x:c>
      <x:c r="T6" s="15" t="n">
        <x:v>0.2785</x:v>
      </x:c>
      <x:c r="U6" s="4"/>
      <x:c r="V6" s="4"/>
    </x:row>
    <x:row r="7" ht="22" customHeight="1">
      <x:c r="A7" s="1"/>
      <x:c r="B7" s="1"/>
      <x:c r="C7" s="3" t="str">
        <x:v>P_SOFTWARE_85_100</x:v>
      </x:c>
      <x:c r="D7" s="4" t="str">
        <x:v>software</x:v>
      </x:c>
      <x:c r="E7" s="15" t="n">
        <x:v>0.85</x:v>
      </x:c>
      <x:c r="F7" s="15" t="n">
        <x:v>1</x:v>
      </x:c>
      <x:c r="G7" s="4" t="n">
        <x:v>0.18</x:v>
      </x:c>
      <x:c r="H7" s="4" t="n">
        <x:v>0</x:v>
      </x:c>
      <x:c r="I7" s="4" t="n">
        <x:v>0.06</x:v>
      </x:c>
      <x:c r="J7" s="4" t="n">
        <x:v>0.306894243256333</x:v>
      </x:c>
      <x:c r="K7" s="4" t="n">
        <x:v>0.47297514748676234</x:v>
      </x:c>
      <x:c r="L7" s="4" t="n">
        <x:v>0.506397924139386</x:v>
      </x:c>
      <x:c r="M7" s="4" t="n">
        <x:v>0.5063979241393844</x:v>
      </x:c>
      <x:c r="N7" s="4" t="n">
        <x:v>0.5063979241393863</x:v>
      </x:c>
      <x:c r="O7" s="4" t="n">
        <x:v>0.5063979241393863</x:v>
      </x:c>
      <x:c r="P7" s="4" t="n">
        <x:v>0.5063979241393859</x:v>
      </x:c>
      <x:c r="Q7" s="4" t="n">
        <x:v>1.0156906813788231</x:v>
      </x:c>
      <x:c r="R7" s="4" t="n">
        <x:v>0.25807868636316605</x:v>
      </x:c>
      <x:c r="S7" s="4" t="n">
        <x:v>1.8868416951634674</x:v>
      </x:c>
      <x:c r="T7" s="15" t="n">
        <x:v>0.2785</x:v>
      </x:c>
      <x:c r="U7" s="4"/>
      <x:c r="V7" s="4"/>
    </x:row>
    <x:row r="8" ht="22" customHeight="1">
      <x:c r="A8" s="1"/>
      <x:c r="B8" s="1"/>
      <x:c r="C8" s="3" t="str">
        <x:v>P_SOFTWARE_90_100</x:v>
      </x:c>
      <x:c r="D8" s="4" t="str">
        <x:v>software</x:v>
      </x:c>
      <x:c r="E8" s="15" t="n">
        <x:v>0.9</x:v>
      </x:c>
      <x:c r="F8" s="15" t="n">
        <x:v>1</x:v>
      </x:c>
      <x:c r="G8" s="4" t="n">
        <x:v>0.18</x:v>
      </x:c>
      <x:c r="H8" s="4" t="n">
        <x:v>0</x:v>
      </x:c>
      <x:c r="I8" s="4" t="n">
        <x:v>0.06</x:v>
      </x:c>
      <x:c r="J8" s="4" t="n">
        <x:v>0.306894243256333</x:v>
      </x:c>
      <x:c r="K8" s="4" t="n">
        <x:v>0.47297514748676234</x:v>
      </x:c>
      <x:c r="L8" s="4" t="n">
        <x:v>0.506397924139386</x:v>
      </x:c>
      <x:c r="M8" s="4" t="n">
        <x:v>0.5063979241393844</x:v>
      </x:c>
      <x:c r="N8" s="4" t="n">
        <x:v>0.5063979241393863</x:v>
      </x:c>
      <x:c r="O8" s="4" t="n">
        <x:v>0.5063979241393863</x:v>
      </x:c>
      <x:c r="P8" s="4" t="n">
        <x:v>0.5063979241393859</x:v>
      </x:c>
      <x:c r="Q8" s="4" t="n">
        <x:v>1.0156906813788231</x:v>
      </x:c>
      <x:c r="R8" s="4" t="n">
        <x:v>0.25807868636316605</x:v>
      </x:c>
      <x:c r="S8" s="4" t="n">
        <x:v>1.8868416951634674</x:v>
      </x:c>
      <x:c r="T8" s="15" t="n">
        <x:v>0.2785</x:v>
      </x:c>
      <x:c r="U8" s="4"/>
      <x:c r="V8" s="4"/>
    </x:row>
    <x:row r="9" ht="22" customHeight="1">
      <x:c r="A9" s="1"/>
      <x:c r="B9" s="1"/>
      <x:c r="C9" s="3" t="str">
        <x:v>P_SOFTWARE_95_100</x:v>
      </x:c>
      <x:c r="D9" s="4" t="str">
        <x:v>software</x:v>
      </x:c>
      <x:c r="E9" s="15" t="n">
        <x:v>0.95</x:v>
      </x:c>
      <x:c r="F9" s="15" t="n">
        <x:v>1</x:v>
      </x:c>
      <x:c r="G9" s="4" t="n">
        <x:v>0.18</x:v>
      </x:c>
      <x:c r="H9" s="4" t="n">
        <x:v>0</x:v>
      </x:c>
      <x:c r="I9" s="4" t="n">
        <x:v>0.06</x:v>
      </x:c>
      <x:c r="J9" s="4" t="n">
        <x:v>0.306894243256333</x:v>
      </x:c>
      <x:c r="K9" s="4" t="n">
        <x:v>0.47297514748676234</x:v>
      </x:c>
      <x:c r="L9" s="4" t="n">
        <x:v>0.506397924139386</x:v>
      </x:c>
      <x:c r="M9" s="4" t="n">
        <x:v>0.5063979241393844</x:v>
      </x:c>
      <x:c r="N9" s="4" t="n">
        <x:v>0.5063979241393863</x:v>
      </x:c>
      <x:c r="O9" s="4" t="n">
        <x:v>0.5063979241393863</x:v>
      </x:c>
      <x:c r="P9" s="4" t="n">
        <x:v>0.5063979241393859</x:v>
      </x:c>
      <x:c r="Q9" s="4" t="n">
        <x:v>1.0156906813788231</x:v>
      </x:c>
      <x:c r="R9" s="4" t="n">
        <x:v>0.25807868636316605</x:v>
      </x:c>
      <x:c r="S9" s="4" t="n">
        <x:v>1.8868416951634674</x:v>
      </x:c>
      <x:c r="T9" s="15" t="n">
        <x:v>0.2785</x:v>
      </x:c>
      <x:c r="U9" s="4"/>
      <x:c r="V9" s="4"/>
    </x:row>
    <x:row r="10" ht="22" customHeight="1">
      <x:c r="A10" s="1"/>
      <x:c r="B10" s="1"/>
      <x:c r="C10" s="3" t="str">
        <x:v>P_CURRENT</x:v>
      </x:c>
      <x:c r="D10" s="4" t="str">
        <x:v>current</x:v>
      </x:c>
      <x:c r="E10" s="15" t="n">
        <x:v>0.5</x:v>
      </x:c>
      <x:c r="F10" s="15" t="n">
        <x:v>1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4" t="n">
        <x:v>0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4" t="n">
        <x:v>0</x:v>
      </x:c>
      <x:c r="S10" s="4" t="n">
        <x:v>0</x:v>
      </x:c>
      <x:c r="T10" s="15" t="n">
        <x:v>0.0686</x:v>
      </x:c>
      <x:c r="U10" s="4"/>
      <x:c r="V10" s="4"/>
    </x:row>
    <x:row r="11" ht="22" customHeight="1">
      <x:c r="A11" s="1"/>
      <x:c r="B11" s="1"/>
      <x:c r="C11" s="3" t="str">
        <x:v>P_RULES_75_100</x:v>
      </x:c>
      <x:c r="D11" s="4" t="str">
        <x:v>rules</x:v>
      </x:c>
      <x:c r="E11" s="15" t="n">
        <x:v>0.75</x:v>
      </x:c>
      <x:c r="F11" s="15" t="n">
        <x:v>1</x:v>
      </x:c>
      <x:c r="G11" s="4" t="n">
        <x:v>0</x:v>
      </x:c>
      <x:c r="H11" s="4" t="n">
        <x:v>0</x:v>
      </x:c>
      <x:c r="I11" s="4" t="n">
        <x:v>0.015</x:v>
      </x:c>
      <x:c r="J11" s="4" t="n">
        <x:v>0.3302188975514233</x:v>
      </x:c>
      <x:c r="K11" s="4" t="n">
        <x:v>0.33619971478174465</x:v>
      </x:c>
      <x:c r="L11" s="4" t="n">
        <x:v>0.33619971478174787</x:v>
      </x:c>
      <x:c r="M11" s="4" t="n">
        <x:v>0.33619971478174115</x:v>
      </x:c>
      <x:c r="N11" s="4" t="n">
        <x:v>0.33619971478174565</x:v>
      </x:c>
      <x:c r="O11" s="4" t="n">
        <x:v>0.3361997147817452</x:v>
      </x:c>
      <x:c r="P11" s="4" t="n">
        <x:v>0.3361997147817438</x:v>
      </x:c>
      <x:c r="Q11" s="4" t="n">
        <x:v>1.0154660356761316</x:v>
      </x:c>
      <x:c r="R11" s="4" t="n">
        <x:v>0.2268749511152179</x:v>
      </x:c>
      <x:c r="S11" s="4" t="n">
        <x:v>1.9184693705320361</x:v>
      </x:c>
      <x:c r="T11" s="15" t="n">
        <x:v>0.3514</x:v>
      </x:c>
      <x:c r="U11" s="4"/>
      <x:c r="V11" s="4"/>
    </x:row>
    <x:row r="12" ht="22" customHeight="1">
      <x:c r="A12" s="1"/>
      <x:c r="B12" s="1"/>
      <x:c r="C12" s="3" t="str">
        <x:v>P_RULES_55_94</x:v>
      </x:c>
      <x:c r="D12" s="4" t="str">
        <x:v>rules</x:v>
      </x:c>
      <x:c r="E12" s="15" t="n">
        <x:v>0.55</x:v>
      </x:c>
      <x:c r="F12" s="15" t="n">
        <x:v>0.94</x:v>
      </x:c>
      <x:c r="G12" s="4" t="n">
        <x:v>0</x:v>
      </x:c>
      <x:c r="H12" s="4" t="n">
        <x:v>0</x:v>
      </x:c>
      <x:c r="I12" s="4" t="n">
        <x:v>0.015</x:v>
      </x:c>
      <x:c r="J12" s="4" t="n">
        <x:v>0.24702941114713828</x:v>
      </x:c>
      <x:c r="K12" s="4" t="n">
        <x:v>0.2771545770089323</x:v>
      </x:c>
      <x:c r="L12" s="4" t="n">
        <x:v>0.2771545770089339</x:v>
      </x:c>
      <x:c r="M12" s="4" t="n">
        <x:v>0.2771545770089292</x:v>
      </x:c>
      <x:c r="N12" s="4" t="n">
        <x:v>0.2771545770089338</x:v>
      </x:c>
      <x:c r="O12" s="4" t="n">
        <x:v>0.27715457700893015</x:v>
      </x:c>
      <x:c r="P12" s="4" t="n">
        <x:v>0.27715457700893226</x:v>
      </x:c>
      <x:c r="Q12" s="4" t="n">
        <x:v>0.6283276541095365</x:v>
      </x:c>
      <x:c r="R12" s="4" t="n">
        <x:v>0.1400121094856476</x:v>
      </x:c>
      <x:c r="S12" s="4" t="n">
        <x:v>1.08380931389306</x:v>
      </x:c>
      <x:c r="T12" s="15" t="n">
        <x:v>0.091</x:v>
      </x:c>
      <x:c r="U12" s="4"/>
      <x:c r="V12" s="4"/>
    </x:row>
    <x:row r="13" ht="22" customHeight="1">
      <x:c r="A13" s="1"/>
      <x:c r="B13" s="1"/>
      <x:c r="C13" s="3" t="str">
        <x:v>P_RULES_70_88</x:v>
      </x:c>
      <x:c r="D13" s="4" t="str">
        <x:v>rules</x:v>
      </x:c>
      <x:c r="E13" s="15" t="n">
        <x:v>0.7</x:v>
      </x:c>
      <x:c r="F13" s="15" t="n">
        <x:v>0.88</x:v>
      </x:c>
      <x:c r="G13" s="4" t="n">
        <x:v>0</x:v>
      </x:c>
      <x:c r="H13" s="4" t="n">
        <x:v>0</x:v>
      </x:c>
      <x:c r="I13" s="4" t="n">
        <x:v>0.015</x:v>
      </x:c>
      <x:c r="J13" s="4" t="n">
        <x:v>0.13831531483887716</x:v>
      </x:c>
      <x:c r="K13" s="4" t="n">
        <x:v>0.15597511428571384</x:v>
      </x:c>
      <x:c r="L13" s="4" t="n">
        <x:v>0.15597511428571453</x:v>
      </x:c>
      <x:c r="M13" s="4" t="n">
        <x:v>0.15597511428570965</x:v>
      </x:c>
      <x:c r="N13" s="4" t="n">
        <x:v>0.15597511428571312</x:v>
      </x:c>
      <x:c r="O13" s="4" t="n">
        <x:v>0.15597511428571006</x:v>
      </x:c>
      <x:c r="P13" s="4" t="n">
        <x:v>0.1559751142857136</x:v>
      </x:c>
      <x:c r="Q13" s="4" t="n">
        <x:v>0.4685316542600356</x:v>
      </x:c>
      <x:c r="R13" s="4" t="n">
        <x:v>-0.2184664450340122</x:v>
      </x:c>
      <x:c r="S13" s="4" t="n">
        <x:v>1.3037776503483163</x:v>
      </x:c>
      <x:c r="T13" s="15" t="n">
        <x:v>0.0215</x:v>
      </x:c>
      <x:c r="U13" s="4"/>
      <x:c r="V13" s="4"/>
    </x:row>
    <x:row r="14" ht="22" customHeight="1">
      <x:c r="A14" s="1"/>
      <x:c r="B14" s="1"/>
      <x:c r="C14" s="3" t="str">
        <x:v>P_SOFTWARE_60_94</x:v>
      </x:c>
      <x:c r="D14" s="4" t="str">
        <x:v>software</x:v>
      </x:c>
      <x:c r="E14" s="15" t="n">
        <x:v>0.6</x:v>
      </x:c>
      <x:c r="F14" s="15" t="n">
        <x:v>0.94</x:v>
      </x:c>
      <x:c r="G14" s="4" t="n">
        <x:v>0.18</x:v>
      </x:c>
      <x:c r="H14" s="4" t="n">
        <x:v>0</x:v>
      </x:c>
      <x:c r="I14" s="4" t="n">
        <x:v>0.06</x:v>
      </x:c>
      <x:c r="J14" s="4" t="n">
        <x:v>0.2822093047217634</x:v>
      </x:c>
      <x:c r="K14" s="4" t="n">
        <x:v>0.4555152302112461</x:v>
      </x:c>
      <x:c r="L14" s="4" t="n">
        <x:v>0.49110465267175685</x:v>
      </x:c>
      <x:c r="M14" s="4" t="n">
        <x:v>0.49110465267175446</x:v>
      </x:c>
      <x:c r="N14" s="4" t="n">
        <x:v>0.49110465267175657</x:v>
      </x:c>
      <x:c r="O14" s="4" t="n">
        <x:v>0.4911046526717563</x:v>
      </x:c>
      <x:c r="P14" s="4" t="n">
        <x:v>0.4911046526717558</x:v>
      </x:c>
      <x:c r="Q14" s="4" t="n">
        <x:v>0.8350464281538267</x:v>
      </x:c>
      <x:c r="R14" s="4" t="n">
        <x:v>0.165303057334382</x:v>
      </x:c>
      <x:c r="S14" s="4" t="n">
        <x:v>1.5338866853647874</x:v>
      </x:c>
      <x:c r="T14" s="15" t="n">
        <x:v>0.0964</x:v>
      </x:c>
      <x:c r="U14" s="4"/>
      <x:c r="V14" s="4"/>
    </x:row>
    <x:row r="15" ht="22" customHeight="1">
      <x:c r="A15" s="1"/>
      <x:c r="B15" s="1"/>
      <x:c r="C15" s="3" t="str">
        <x:v>P_SOFTWARE_70_88</x:v>
      </x:c>
      <x:c r="D15" s="4" t="str">
        <x:v>software</x:v>
      </x:c>
      <x:c r="E15" s="15" t="n">
        <x:v>0.7</x:v>
      </x:c>
      <x:c r="F15" s="15" t="n">
        <x:v>0.88</x:v>
      </x:c>
      <x:c r="G15" s="4" t="n">
        <x:v>0.18</x:v>
      </x:c>
      <x:c r="H15" s="4" t="n">
        <x:v>0</x:v>
      </x:c>
      <x:c r="I15" s="4" t="n">
        <x:v>0.06</x:v>
      </x:c>
      <x:c r="J15" s="4" t="n">
        <x:v>0.15421617195133586</x:v>
      </x:c>
      <x:c r="K15" s="4" t="n">
        <x:v>0.2975090643277123</x:v>
      </x:c>
      <x:c r="L15" s="4" t="n">
        <x:v>0.3371416257780974</x:v>
      </x:c>
      <x:c r="M15" s="4" t="n">
        <x:v>0.33714162577809426</x:v>
      </x:c>
      <x:c r="N15" s="4" t="n">
        <x:v>0.3371416257780968</x:v>
      </x:c>
      <x:c r="O15" s="4" t="n">
        <x:v>0.33714162577809526</x:v>
      </x:c>
      <x:c r="P15" s="4" t="n">
        <x:v>0.33714162577809553</x:v>
      </x:c>
      <x:c r="Q15" s="4" t="n">
        <x:v>0.5090185115539975</x:v>
      </x:c>
      <x:c r="R15" s="4" t="n">
        <x:v>-0.1605076098587704</x:v>
      </x:c>
      <x:c r="S15" s="4" t="n">
        <x:v>1.3080715233705507</x:v>
      </x:c>
      <x:c r="T15" s="15" t="n">
        <x:v>0.0179</x:v>
      </x:c>
      <x:c r="U15" s="4"/>
      <x:c r="V15" s="4"/>
    </x:row>
    <x:row r="16" ht="22" customHeight="1">
      <x:c r="A16" s="1"/>
      <x:c r="B16" s="1"/>
      <x:c r="C16" s="3" t="str">
        <x:v>P_TARGETED_75_100</x:v>
      </x:c>
      <x:c r="D16" s="4" t="str">
        <x:v>targeted</x:v>
      </x:c>
      <x:c r="E16" s="15" t="n">
        <x:v>0.75</x:v>
      </x:c>
      <x:c r="F16" s="15" t="n">
        <x:v>1</x:v>
      </x:c>
      <x:c r="G16" s="4" t="n">
        <x:v>0.18</x:v>
      </x:c>
      <x:c r="H16" s="4" t="n">
        <x:v>0.85</x:v>
      </x:c>
      <x:c r="I16" s="4" t="n">
        <x:v>0.1</x:v>
      </x:c>
      <x:c r="J16" s="4" t="n">
        <x:v>0.21315770801527933</x:v>
      </x:c>
      <x:c r="K16" s="4" t="n">
        <x:v>0.6087105478219415</x:v>
      </x:c>
      <x:c r="L16" s="4" t="n">
        <x:v>0.7300364639766043</x:v>
      </x:c>
      <x:c r="M16" s="4" t="n">
        <x:v>0.7300364639766033</x:v>
      </x:c>
      <x:c r="N16" s="4" t="n">
        <x:v>0.730036463976605</x:v>
      </x:c>
      <x:c r="O16" s="4" t="n">
        <x:v>0.7300364639766025</x:v>
      </x:c>
      <x:c r="P16" s="4" t="n">
        <x:v>0.7300364639766035</x:v>
      </x:c>
      <x:c r="Q16" s="4" t="n">
        <x:v>0.3592273539904041</x:v>
      </x:c>
      <x:c r="R16" s="4" t="n">
        <x:v>-0.34823713533069267</x:v>
      </x:c>
      <x:c r="S16" s="4" t="n">
        <x:v>1.1291271577568522</x:v>
      </x:c>
      <x:c r="T16" s="15" t="n">
        <x:v>0.0607</x:v>
      </x:c>
      <x:c r="U16" s="4"/>
      <x:c r="V16" s="4"/>
    </x:row>
    <x:row r="17" ht="22" customHeight="1">
      <x:c r="A17" s="1"/>
      <x:c r="B17" s="1"/>
      <x:c r="C17" s="3" t="str">
        <x:v>P_TARGETED_75_94</x:v>
      </x:c>
      <x:c r="D17" s="4" t="str">
        <x:v>targeted</x:v>
      </x:c>
      <x:c r="E17" s="15" t="n">
        <x:v>0.75</x:v>
      </x:c>
      <x:c r="F17" s="15" t="n">
        <x:v>0.94</x:v>
      </x:c>
      <x:c r="G17" s="4" t="n">
        <x:v>0.18</x:v>
      </x:c>
      <x:c r="H17" s="4" t="n">
        <x:v>0.85</x:v>
      </x:c>
      <x:c r="I17" s="4" t="n">
        <x:v>0.1</x:v>
      </x:c>
      <x:c r="J17" s="4" t="n">
        <x:v>0.18884599353267797</x:v>
      </x:c>
      <x:c r="K17" s="4" t="n">
        <x:v>0.6221179315751567</x:v>
      </x:c>
      <x:c r="L17" s="4" t="n">
        <x:v>0.7289663237601476</x:v>
      </x:c>
      <x:c r="M17" s="4" t="n">
        <x:v>0.7289663237601484</x:v>
      </x:c>
      <x:c r="N17" s="4" t="n">
        <x:v>0.7289663237601494</x:v>
      </x:c>
      <x:c r="O17" s="4" t="n">
        <x:v>0.7289663237601473</x:v>
      </x:c>
      <x:c r="P17" s="4" t="n">
        <x:v>0.7289663237601457</x:v>
      </x:c>
      <x:c r="Q17" s="4" t="n">
        <x:v>0.33284912311830694</x:v>
      </x:c>
      <x:c r="R17" s="4" t="n">
        <x:v>-0.3864380117392498</x:v>
      </x:c>
      <x:c r="S17" s="4" t="n">
        <x:v>1.1116901336563114</x:v>
      </x:c>
      <x:c r="T17" s="15" t="n">
        <x:v>0.0477</x:v>
      </x:c>
      <x:c r="U17" s="4"/>
      <x:c r="V17" s="4"/>
    </x:row>
    <x:row r="18" ht="22" customHeight="1">
      <x:c r="A18" s="1"/>
      <x:c r="B18" s="1"/>
      <x:c r="C18" s="3" t="str">
        <x:v>P_LARGE_85_100</x:v>
      </x:c>
      <x:c r="D18" s="4" t="str">
        <x:v>large</x:v>
      </x:c>
      <x:c r="E18" s="15" t="n">
        <x:v>0.85</x:v>
      </x:c>
      <x:c r="F18" s="15" t="n">
        <x:v>1</x:v>
      </x:c>
      <x:c r="G18" s="4" t="n">
        <x:v>0.18</x:v>
      </x:c>
      <x:c r="H18" s="4" t="n">
        <x:v>3.6</x:v>
      </x:c>
      <x:c r="I18" s="4" t="n">
        <x:v>0.2</x:v>
      </x:c>
      <x:c r="J18" s="4" t="n">
        <x:v>-0.07564084763202682</x:v>
      </x:c>
      <x:c r="K18" s="4" t="n">
        <x:v>0.33034752032234505</x:v>
      </x:c>
      <x:c r="L18" s="4" t="n">
        <x:v>0.4733179023559371</x:v>
      </x:c>
      <x:c r="M18" s="4" t="n">
        <x:v>0.46299265200892575</x:v>
      </x:c>
      <x:c r="N18" s="4" t="n">
        <x:v>0.4629926520089281</x:v>
      </x:c>
      <x:c r="O18" s="4" t="n">
        <x:v>0.46299265200892703</x:v>
      </x:c>
      <x:c r="P18" s="4" t="n">
        <x:v>0.46299265200892725</x:v>
      </x:c>
      <x:c r="Q18" s="4" t="n">
        <x:v>-3.219809643804043</x:v>
      </x:c>
      <x:c r="R18" s="4" t="n">
        <x:v>-4.1186893885249685</x:v>
      </x:c>
      <x:c r="S18" s="4" t="n">
        <x:v>-2.3621433846778523</x:v>
      </x:c>
      <x:c r="T18" s="15" t="n">
        <x:v>0.006</x:v>
      </x:c>
      <x:c r="U18" s="4"/>
      <x:c r="V18" s="4"/>
    </x:row>
    <x:row r="19" ht="22" customHeight="1">
      <x:c r="A19" s="1"/>
      <x:c r="B19" s="1"/>
      <x:c r="C19" s="3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21" t="str">
        <x:v>Imported real benefits include recurring package costs. Changing dispatch/capacity assumptions requires script refresh.</x:v>
      </x:c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21" t="str">
        <x:v>All monetary inputs here are Rp tn. Benefits are 2025-price net operating cost reductions, before transition/D&amp;A.</x:v>
      </x:c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16" hidden="0" customWidth="1"/>
    <x:col min="5" max="5" width="9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Validation results and remaining gate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3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32" customHeight="1">
      <x:c r="A5" s="1"/>
      <x:c r="B5" s="1"/>
      <x:c r="C5" s="13" t="str">
        <x:v>Check</x:v>
      </x:c>
      <x:c r="D5" s="14" t="str">
        <x:v>Status / difference</x:v>
      </x:c>
      <x:c r="E5" s="14" t="str">
        <x:v>Detail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34" customHeight="1">
      <x:c r="A6" s="1"/>
      <x:c r="B6" s="1"/>
      <x:c r="C6" s="3" t="str">
        <x:v>BASE_COST</x:v>
      </x:c>
      <x:c r="D6" s="4" t="str">
        <x:v>PASS</x:v>
      </x:c>
      <x:c r="E6" s="47" t="str">
        <x:v>2025-equivalent delivery spend20tn with zero inflation.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34" customHeight="1">
      <x:c r="A7" s="1"/>
      <x:c r="B7" s="1"/>
      <x:c r="C7" s="3" t="str">
        <x:v>BASE_SHARE</x:v>
      </x:c>
      <x:c r="D7" s="4" t="str">
        <x:v>PASS</x:v>
      </x:c>
      <x:c r="E7" s="47" t="str">
        <x:v>National internal share50%.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34" customHeight="1">
      <x:c r="A8" s="1"/>
      <x:c r="B8" s="1"/>
      <x:c r="C8" s="3" t="str">
        <x:v>BASE_UNIT_INTERNAL</x:v>
      </x:c>
      <x:c r="D8" s="4" t="str">
        <x:v>PASS</x:v>
      </x:c>
      <x:c r="E8" s="47" t="str">
        <x:v>Weighted internal8,000; weighted external12,000 independently checked.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34" customHeight="1">
      <x:c r="A9" s="1"/>
      <x:c r="B9" s="1"/>
      <x:c r="C9" s="3" t="str">
        <x:v>BASE_WEIGHTS</x:v>
      </x:c>
      <x:c r="D9" s="4" t="str">
        <x:v>PASS</x:v>
      </x:c>
      <x:c r="E9" s="47" t="str">
        <x:v>Weights sum1; national2bn parcels.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34" customHeight="1">
      <x:c r="A10" s="1"/>
      <x:c r="B10" s="1"/>
      <x:c r="C10" s="3" t="str">
        <x:v>SEED</x:v>
      </x:c>
      <x:c r="D10" s="4" t="str">
        <x:v>PASS</x:v>
      </x:c>
      <x:c r="E10" s="47" t="str">
        <x:v>PCG64 seeded sampling exactly repeats in this NumPy version.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34" customHeight="1">
      <x:c r="A11" s="1"/>
      <x:c r="B11" s="1"/>
      <x:c r="C11" s="3" t="str">
        <x:v>CONSERVE</x:v>
      </x:c>
      <x:c r="D11" s="4" t="str">
        <x:v>PASS</x:v>
      </x:c>
      <x:c r="E11" s="47" t="str">
        <x:v>Max absolute parcel-bn discrepancy0; internal+external+deferred equals demand.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34" customHeight="1">
      <x:c r="A12" s="1"/>
      <x:c r="B12" s="1"/>
      <x:c r="C12" s="3" t="str">
        <x:v>CAPACITY</x:v>
      </x:c>
      <x:c r="D12" s="4" t="str">
        <x:v>PASS</x:v>
      </x:c>
      <x:c r="E12" s="47" t="str">
        <x:v>Max capacity excess0bn; stochastic travel/capacity respected.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34" customHeight="1">
      <x:c r="A13" s="1"/>
      <x:c r="B13" s="1"/>
      <x:c r="C13" s="3" t="str">
        <x:v>ANNUAL_GROWTH_GATE</x:v>
      </x:c>
      <x:c r="D13" s="4" t="str">
        <x:v>PASS</x:v>
      </x:c>
      <x:c r="E13" s="47" t="str">
        <x:v>Correctly reports0/133 central policies passing all annual growth tests. This PASS validates detection of a FAILED investment gate.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34" customHeight="1">
      <x:c r="A14" s="1"/>
      <x:c r="B14" s="1"/>
      <x:c r="C14" s="3" t="str">
        <x:v>WEIGHT_0.45</x:v>
      </x:c>
      <x:c r="D14" s="4" t="str">
        <x:v>PASS</x:v>
      </x:c>
      <x:c r="E14" s="47" t="str">
        <x:v>Alternative national weights recalibrated to50%/8,000/12,000.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34" customHeight="1">
      <x:c r="A15" s="1"/>
      <x:c r="B15" s="1"/>
      <x:c r="C15" s="3" t="str">
        <x:v>WEIGHT_0.25</x:v>
      </x:c>
      <x:c r="D15" s="4" t="str">
        <x:v>PASS</x:v>
      </x:c>
      <x:c r="E15" s="47" t="str">
        <x:v>Alternative national weights recalibrated to50%/8,000/12,000.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34" customHeight="1">
      <x:c r="A16" s="1"/>
      <x:c r="B16" s="1"/>
      <x:c r="C16" s="3" t="str">
        <x:v>HELDOUT_REPRO</x:v>
      </x:c>
      <x:c r="D16" s="4" t="str">
        <x:v>PASS</x:v>
      </x:c>
      <x:c r="E16" s="47" t="str">
        <x:v>10,000 recommended-candidate NPVs re-executed and matched saved array.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34" customHeight="1">
      <x:c r="A17" s="1"/>
      <x:c r="B17" s="1"/>
      <x:c r="C17" s="3" t="str">
        <x:v>REGIONAL_LP</x:v>
      </x:c>
      <x:c r="D17" s="4" t="str">
        <x:v>PASS</x:v>
      </x:c>
      <x:c r="E17" s="47" t="str">
        <x:v>Regional and4-hour incident transport LP conserve parcels; shared hub capacities enforced.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34" customHeight="1">
      <x:c r="A18" s="1"/>
      <x:c r="B18" s="1"/>
      <x:c r="C18" s="3" t="str">
        <x:v>GEOJSON</x:v>
      </x:c>
      <x:c r="D18" s="4" t="str">
        <x:v>PASS</x:v>
      </x:c>
      <x:c r="E18" s="47" t="str">
        <x:v>Valid GeoJSON structure; schematic-status labels explicit.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34" customHeight="1">
      <x:c r="A19" s="1"/>
      <x:c r="B19" s="1"/>
      <x:c r="C19" s="3" t="str">
        <x:v>DETAILED_GIS</x:v>
      </x:c>
      <x:c r="D19" s="4" t="str">
        <x:v>PARTIAL</x:v>
      </x:c>
      <x:c r="E19" s="47" t="str">
        <x:v>No full-resolution street/building/settlement extract. Coarse corridor attributes include authored distances; cannot certify street routing or detailed access restrictions.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34" customHeight="1">
      <x:c r="A20" s="1"/>
      <x:c r="B20" s="1"/>
      <x:c r="C20" s="3" t="str">
        <x:v>JSON_FINITE</x:v>
      </x:c>
      <x:c r="D20" s="4" t="str">
        <x:v>PASS</x:v>
      </x:c>
      <x:c r="E20" s="47" t="str">
        <x:v>json.dumps allow_nan=False used for every JSON/GeoJSON export; successful serialisation.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 t="str">
        <x:v>Blend versus case</x:v>
      </x:c>
      <x:c r="D23" s="56" t="n">
        <x:f>'Case Facts'!D18-10000</x:f>
        <x:v>0</x:v>
      </x:c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 t="str">
        <x:v>Delivery spending versus case-derived</x:v>
      </x:c>
      <x:c r="D24" s="56" t="n">
        <x:f>'Case Facts'!D19-20</x:f>
        <x:v>0</x:v>
      </x:c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 t="str">
        <x:v>Finance NPV versus sum PV</x:v>
      </x:c>
      <x:c r="D25" s="56" t="n">
        <x:f>'Finance'!D43-SUM('Finance'!D39:K39)</x:f>
        <x:v>0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 t="str">
        <x:v>Annual growth detection</x:v>
      </x:c>
      <x:c r="D26" s="28" t="str">
        <x:f>'Finance'!D48</x:f>
        <x:v>FAIL</x:v>
      </x:c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A939B"/>
  </x:sheetPr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6" hidden="0" customWidth="1"/>
    <x:col min="4" max="4" width="1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2" customHeight="1">
      <x:c r="A1" s="1"/>
      <x:c r="B1" s="1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2" customHeight="1">
      <x:c r="A2" s="1"/>
      <x:c r="B2" s="1"/>
      <x:c r="C2" s="5" t="str">
        <x:v>Model scope and refresh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2" customHeight="1">
      <x:c r="A3" s="1"/>
      <x:c r="B3" s="1"/>
      <x:c r="C3" s="6"/>
      <x:c r="D3" s="6"/>
      <x:c r="E3" s="6"/>
      <x:c r="F3" s="6"/>
      <x:c r="G3" s="6"/>
      <x:c r="H3" s="6"/>
      <x:c r="I3" s="6"/>
      <x:c r="J3" s="6"/>
      <x:c r="K3" s="6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2" customHeight="1">
      <x:c r="A4" s="1"/>
      <x:c r="B4" s="1"/>
      <x:c r="C4" s="3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43" customHeight="1">
      <x:c r="A5" s="1"/>
      <x:c r="B5" s="1"/>
      <x:c r="C5" s="3" t="str">
        <x:v>Scope</x:v>
      </x:c>
      <x:c r="D5" s="47" t="str">
        <x:v>National incremental logistics economics, with a separate Greater Jakarta corridor prototype model. No website build or commercial growth benefits.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</x:row>
    <x:row r="6" ht="43" customHeight="1">
      <x:c r="A6" s="1"/>
      <x:c r="B6" s="1"/>
      <x:c r="C6" s="3" t="str">
        <x:v>Original source</x:v>
      </x:c>
      <x:c r="D6" s="47" t="str">
        <x:v>The original PDF was not inspected here. Historical case facts come from the supplied handoff extract.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</x:row>
    <x:row r="7" ht="43" customHeight="1">
      <x:c r="A7" s="1"/>
      <x:c r="B7" s="1"/>
      <x:c r="C7" s="3" t="str">
        <x:v>Decision</x:v>
      </x:c>
      <x:c r="D7" s="47" t="str">
        <x:v>No central national rollout meets positive group-profit growth in every year. A positive project NPV does not change this gate.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</x:row>
    <x:row r="8" ht="43" customHeight="1">
      <x:c r="A8" s="1"/>
      <x:c r="B8" s="1"/>
      <x:c r="C8" s="3" t="str">
        <x:v>Finance controls</x:v>
      </x:c>
      <x:c r="D8" s="47" t="str">
        <x:v>Finance is the single editable deterministic build. Select a policy number and adjust the amber inputs. The imported dispatch allocation does not re-optimise.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</x:row>
    <x:row r="9" ht="43" customHeight="1">
      <x:c r="A9" s="1"/>
      <x:c r="B9" s="1"/>
      <x:c r="C9" s="3" t="str">
        <x:v>Simulation refresh</x:v>
      </x:c>
      <x:c r="D9" s="47" t="str">
        <x:v>Rerun model.py, geography.py, prepare_deliverables.py and build_workbook.mjs after changing operating assumptions. Imported tables are snapshots.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</x:row>
    <x:row r="10" ht="43" customHeight="1">
      <x:c r="A10" s="1"/>
      <x:c r="B10" s="1"/>
      <x:c r="C10" s="3" t="str">
        <x:v>Money / volume</x:v>
      </x:c>
      <x:c r="D10" s="47" t="str">
        <x:v>National amounts Rp tn, volume bn parcels/year. Regional data use IDR/day and parcels/day; incident data use IDR/4h.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</x:row>
    <x:row r="11" ht="43" customHeight="1">
      <x:c r="A11" s="1"/>
      <x:c r="B11" s="1"/>
      <x:c r="C11" s="3" t="str">
        <x:v>Counterfactual</x:v>
      </x:c>
      <x:c r="D11" s="47" t="str">
        <x:v>Every policy shares the same demand, cost and traffic world as its current-policy comparison. No higher-volume commercial benefit is credited.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</x:row>
    <x:row r="12" ht="43" customHeight="1">
      <x:c r="A12" s="1"/>
      <x:c r="B12" s="1"/>
      <x:c r="C12" s="3" t="str">
        <x:v>Annual profit bridge</x:v>
      </x:c>
      <x:c r="D12" s="47" t="str">
        <x:v>5tn minus change in matched logistics cost, plus explicit other net OP drift, plus incremental policy EBIT. The residual is not assumed wholly fixed overhead.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</x:row>
    <x:row r="13" ht="43" customHeight="1">
      <x:c r="A13" s="1"/>
      <x:c r="B13" s="1"/>
      <x:c r="C13" s="3" t="str">
        <x:v>Geography limitation</x:v>
      </x:c>
      <x:c r="D13" s="47" t="str">
        <x:v>No downloaded detailed road/building source layer. Schematic corridor geometry and authored subsections are marked; actual access and last-mile routing remain unresolved.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</x:row>
    <x:row r="14" ht="43" customHeight="1">
      <x:c r="A14" s="1"/>
      <x:c r="B14" s="1"/>
      <x:c r="C14" s="3" t="str">
        <x:v>Uncertainty</x:v>
      </x:c>
      <x:c r="D14" s="47" t="str">
        <x:v>World percentiles and simulated service fractions are conditional on authored distributions. They are not empirical confidence about Nexora.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</x:row>
    <x:row r="15" ht="43" customHeight="1">
      <x:c r="A15" s="1"/>
      <x:c r="B15" s="1"/>
      <x:c r="C15" s="3" t="str">
        <x:v>Project returns</x:v>
      </x:c>
      <x:c r="D15" s="47" t="str">
        <x:v>Unlevered annual cash flows, no invented financing. Rules/current have no initial capital outlay; IRR is n.a.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 ht="43" customHeight="1">
      <x:c r="A16" s="1"/>
      <x:c r="B16" s="1"/>
      <x:c r="C16" s="3" t="str">
        <x:v>Horizon</x:v>
      </x:c>
      <x:c r="D16" s="47" t="str">
        <x:v>Primary5years;3/7alternatives include refresh and replacement. No perpetuity value.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 ht="43" customHeight="1">
      <x:c r="A17" s="1"/>
      <x:c r="B17" s="1"/>
      <x:c r="C17" s="3" t="str">
        <x:v>Files</x:v>
      </x:c>
      <x:c r="D17" s="47" t="str">
        <x:v>Master Context Pack preserves decisions, original brief, limitations and continuation prompt. JSON, GeoJSON, code, draws and fixtures are in the ZIP.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 ht="22" customHeight="1">
      <x:c r="A18" s="1"/>
      <x:c r="B18" s="1"/>
      <x:c r="C18" s="3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</x:row>
    <x:row r="19" ht="22" customHeight="1">
      <x:c r="A19" s="1"/>
      <x:c r="B19" s="1"/>
      <x:c r="C19" s="3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</x:row>
    <x:row r="20" ht="22" customHeight="1">
      <x:c r="A20" s="1"/>
      <x:c r="B20" s="1"/>
      <x:c r="C20" s="3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 ht="22" customHeight="1">
      <x:c r="A21" s="1"/>
      <x:c r="B21" s="1"/>
      <x:c r="C21" s="3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 ht="22" customHeight="1">
      <x:c r="A22" s="1"/>
      <x:c r="B22" s="1"/>
      <x:c r="C22" s="3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 ht="22" customHeight="1">
      <x:c r="A23" s="1"/>
      <x:c r="B23" s="1"/>
      <x:c r="C23" s="3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 ht="22" customHeight="1">
      <x:c r="A24" s="1"/>
      <x:c r="B24" s="1"/>
      <x:c r="C24" s="3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 ht="22" customHeight="1">
      <x:c r="A25" s="1"/>
      <x:c r="B25" s="1"/>
      <x:c r="C25" s="3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 ht="22" customHeight="1">
      <x:c r="A26" s="1"/>
      <x:c r="B26" s="1"/>
      <x:c r="C26" s="3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 ht="22" customHeight="1">
      <x:c r="A27" s="1"/>
      <x:c r="B27" s="1"/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 ht="22" customHeight="1">
      <x:c r="A28" s="1"/>
      <x:c r="B28" s="1"/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 ht="22" customHeight="1">
      <x:c r="A29" s="1"/>
      <x:c r="B29" s="1"/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 ht="22" customHeight="1">
      <x:c r="A30" s="1"/>
      <x:c r="B30" s="1"/>
      <x:c r="C30" s="3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 ht="22" customHeight="1">
      <x:c r="A31" s="1"/>
      <x:c r="B31" s="1"/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</x:row>
    <x:row r="32" ht="22" customHeight="1">
      <x:c r="A32" s="1"/>
      <x:c r="B32" s="1"/>
      <x:c r="C32" s="3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</x:row>
    <x:row r="33" ht="22" customHeight="1">
      <x:c r="A33" s="1"/>
      <x:c r="B33" s="1"/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</x:row>
    <x:row r="34" ht="22" customHeight="1">
      <x:c r="A34" s="1"/>
      <x:c r="B34" s="1"/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</x:row>
    <x:row r="35" ht="22" customHeight="1">
      <x:c r="A35" s="1"/>
      <x:c r="B35" s="1"/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</x:row>
    <x:row r="36" ht="22" customHeight="1">
      <x:c r="A36" s="1"/>
      <x:c r="B36" s="1"/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</x:row>
    <x:row r="37" ht="22" customHeight="1">
      <x:c r="A37" s="1"/>
      <x:c r="B37" s="1"/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</x:row>
    <x:row r="38" ht="22" customHeight="1">
      <x:c r="A38" s="1"/>
      <x:c r="B38" s="1"/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</x:row>
    <x:row r="39" ht="22" customHeight="1">
      <x:c r="A39" s="1"/>
      <x:c r="B39" s="1"/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</x:row>
    <x:row r="40" ht="22" customHeight="1">
      <x:c r="A40" s="1"/>
      <x:c r="B40" s="1"/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</x:row>
    <x:row r="41" ht="22" customHeight="1">
      <x:c r="A41" s="1"/>
      <x:c r="B41" s="1"/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</x:row>
    <x:row r="42" ht="22" customHeight="1">
      <x:c r="A42" s="1"/>
      <x:c r="B42" s="1"/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</x:row>
    <x:row r="43" ht="22" customHeight="1">
      <x:c r="A43" s="1"/>
      <x:c r="B43" s="1"/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</x:row>
    <x:row r="44" ht="22" customHeight="1">
      <x:c r="A44" s="1"/>
      <x:c r="B44" s="1"/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</x:row>
    <x:row r="45" ht="22" customHeight="1">
      <x:c r="A45" s="1"/>
      <x:c r="B45" s="1"/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</x:row>
    <x:row r="46" ht="22" customHeight="1">
      <x:c r="A46" s="1"/>
      <x:c r="B46" s="1"/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</x:row>
    <x:row r="47" ht="22" customHeight="1">
      <x:c r="A47" s="1"/>
      <x:c r="B47" s="1"/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</x:row>
    <x:row r="48" ht="22" customHeight="1">
      <x:c r="A48" s="1"/>
      <x:c r="B48" s="1"/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</x:row>
    <x:row r="49" ht="22" customHeight="1">
      <x:c r="A49" s="1"/>
      <x:c r="B49" s="1"/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</x:row>
    <x:row r="50" ht="22" customHeight="1">
      <x:c r="A50" s="1"/>
      <x:c r="B50" s="1"/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</x:row>
    <x:row r="51" ht="22" customHeight="1">
      <x:c r="A51" s="1"/>
      <x:c r="B51" s="1"/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</x:row>
    <x:row r="52" ht="22" customHeight="1">
      <x:c r="A52" s="1"/>
      <x:c r="B52" s="1"/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</x:row>
    <x:row r="53" ht="22" customHeight="1">
      <x:c r="A53" s="1"/>
      <x:c r="B53" s="1"/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</x:row>
    <x:row r="54" ht="22" customHeight="1">
      <x:c r="A54" s="1"/>
      <x:c r="B54" s="1"/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</x:row>
    <x:row r="55" ht="22" customHeight="1">
      <x:c r="A55" s="1"/>
      <x:c r="B55" s="1"/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</x:row>
    <x:row r="56" ht="22" customHeight="1">
      <x:c r="A56" s="1"/>
      <x:c r="B56" s="1"/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</x:row>
    <x:row r="57" ht="22" customHeight="1">
      <x:c r="A57" s="1"/>
      <x:c r="B57" s="1"/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</x:row>
    <x:row r="58" ht="22" customHeight="1">
      <x:c r="A58" s="1"/>
      <x:c r="B58" s="1"/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</x:row>
    <x:row r="59" ht="22" customHeight="1">
      <x:c r="A59" s="1"/>
      <x:c r="B59" s="1"/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</x:row>
    <x:row r="60" ht="22" customHeight="1">
      <x:c r="A60" s="1"/>
      <x:c r="B60" s="1"/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</x:row>
    <x:row r="61" ht="22" customHeight="1">
      <x:c r="A61" s="1"/>
      <x:c r="B61" s="1"/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</x:row>
    <x:row r="62" ht="22" customHeight="1">
      <x:c r="A62" s="1"/>
      <x:c r="B62" s="1"/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</x:row>
    <x:row r="63" ht="22" customHeight="1">
      <x:c r="A63" s="1"/>
      <x:c r="B63" s="1"/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</x:row>
    <x:row r="64" ht="22" customHeight="1">
      <x:c r="A64" s="1"/>
      <x:c r="B64" s="1"/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</x:row>
    <x:row r="65" ht="22" customHeight="1">
      <x:c r="A65" s="1"/>
      <x:c r="B65" s="1"/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</x:row>
    <x:row r="66" ht="22" customHeight="1">
      <x:c r="A66" s="1"/>
      <x:c r="B66" s="1"/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</x:row>
    <x:row r="67" ht="22" customHeight="1">
      <x:c r="A67" s="1"/>
      <x:c r="B67" s="1"/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</x:row>
    <x:row r="68" ht="22" customHeight="1">
      <x:c r="A68" s="1"/>
      <x:c r="B68" s="1"/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</x:row>
    <x:row r="69" ht="22" customHeight="1">
      <x:c r="A69" s="1"/>
      <x:c r="B69" s="1"/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</x:row>
    <x:row r="70" ht="22" customHeight="1">
      <x:c r="A70" s="1"/>
      <x:c r="B70" s="1"/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</x:row>
    <x:row r="71" ht="22" customHeight="1">
      <x:c r="A71" s="1"/>
      <x:c r="B71" s="1"/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</x:row>
    <x:row r="72" ht="22" customHeight="1">
      <x:c r="A72" s="1"/>
      <x:c r="B72" s="1"/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</x:row>
    <x:row r="73" ht="22" customHeight="1">
      <x:c r="A73" s="1"/>
      <x:c r="B73" s="1"/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</x:row>
    <x:row r="74" ht="22" customHeight="1">
      <x:c r="A74" s="1"/>
      <x:c r="B74" s="1"/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</x:row>
    <x:row r="75" ht="22" customHeight="1">
      <x:c r="A75" s="1"/>
      <x:c r="B75" s="1"/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</x:row>
    <x:row r="76" ht="22" customHeight="1">
      <x:c r="A76" s="1"/>
      <x:c r="B76" s="1"/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</x:row>
    <x:row r="77" ht="22" customHeight="1">
      <x:c r="A77" s="1"/>
      <x:c r="B77" s="1"/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</x:row>
    <x:row r="78" ht="22" customHeight="1">
      <x:c r="A78" s="1"/>
      <x:c r="B78" s="1"/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</x:row>
    <x:row r="79" ht="22" customHeight="1">
      <x:c r="A79" s="1"/>
      <x:c r="B79" s="1"/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</x:row>
    <x:row r="80" ht="22" customHeight="1">
      <x:c r="A80" s="1"/>
      <x:c r="B80" s="1"/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</x:row>
    <x:row r="81" ht="22" customHeight="1">
      <x:c r="A81" s="1"/>
      <x:c r="B81" s="1"/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</x:row>
    <x:row r="82" ht="22" customHeight="1">
      <x:c r="A82" s="1"/>
      <x:c r="B82" s="1"/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</x:row>
    <x:row r="83" ht="22" customHeight="1">
      <x:c r="A83" s="1"/>
      <x:c r="B83" s="1"/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</x:row>
    <x:row r="84" ht="22" customHeight="1">
      <x:c r="A84" s="1"/>
      <x:c r="B84" s="1"/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</x:row>
    <x:row r="85" ht="22" customHeight="1">
      <x:c r="A85" s="1"/>
      <x:c r="B85" s="1"/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</x:row>
    <x:row r="86" ht="22" customHeight="1">
      <x:c r="A86" s="1"/>
      <x:c r="B86" s="1"/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</x:row>
    <x:row r="87" ht="22" customHeight="1">
      <x:c r="A87" s="1"/>
      <x:c r="B87" s="1"/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</x:row>
    <x:row r="88" ht="22" customHeight="1">
      <x:c r="A88" s="1"/>
      <x:c r="B88" s="1"/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</x:row>
    <x:row r="89" ht="22" customHeight="1">
      <x:c r="A89" s="1"/>
      <x:c r="B89" s="1"/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</x:row>
    <x:row r="90" ht="22" customHeight="1">
      <x:c r="A90" s="1"/>
      <x:c r="B90" s="1"/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</x:row>
    <x:row r="91" ht="22" customHeight="1">
      <x:c r="A91" s="1"/>
      <x:c r="B91" s="1"/>
      <x:c r="C91" s="3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</x:row>
    <x:row r="92" ht="22" customHeight="1">
      <x:c r="A92" s="1"/>
      <x:c r="B92" s="1"/>
      <x:c r="C92" s="3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</x:row>
    <x:row r="93" ht="22" customHeight="1">
      <x:c r="A93" s="1"/>
      <x:c r="B93" s="1"/>
      <x:c r="C93" s="3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</x:row>
    <x:row r="94" ht="22" customHeight="1">
      <x:c r="A94" s="1"/>
      <x:c r="B94" s="1"/>
      <x:c r="C94" s="3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</x:row>
    <x:row r="95" ht="22" customHeight="1">
      <x:c r="A95" s="1"/>
      <x:c r="B95" s="1"/>
      <x:c r="C95" s="3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</x:row>
    <x:row r="96" ht="22" customHeight="1">
      <x:c r="A96" s="1"/>
      <x:c r="B96" s="1"/>
      <x:c r="C96" s="3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</x:row>
    <x:row r="97" ht="22" customHeight="1">
      <x:c r="A97" s="1"/>
      <x:c r="B97" s="1"/>
      <x:c r="C97" s="3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</x:row>
    <x:row r="98" ht="22" customHeight="1">
      <x:c r="A98" s="1"/>
      <x:c r="B98" s="1"/>
      <x:c r="C98" s="3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</x:row>
    <x:row r="99" ht="22" customHeight="1">
      <x:c r="A99" s="1"/>
      <x:c r="B99" s="1"/>
      <x:c r="C99" s="3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</x:row>
    <x:row r="100" ht="22" customHeight="1">
      <x:c r="A100" s="1"/>
      <x:c r="B100" s="1"/>
      <x:c r="C100" s="3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</x:row>
    <x:row r="101" ht="22" customHeight="1">
      <x:c r="A101" s="1"/>
      <x:c r="B101" s="1"/>
      <x:c r="C101" s="3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</x:row>
    <x:row r="102" ht="22" customHeight="1">
      <x:c r="A102" s="1"/>
      <x:c r="B102" s="1"/>
      <x:c r="C102" s="3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</x:row>
    <x:row r="103" ht="22" customHeight="1">
      <x:c r="A103" s="1"/>
      <x:c r="B103" s="1"/>
      <x:c r="C103" s="3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</x:row>
    <x:row r="104" ht="22" customHeight="1">
      <x:c r="A104" s="1"/>
      <x:c r="B104" s="1"/>
      <x:c r="C104" s="3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</x:row>
    <x:row r="105" ht="22" customHeight="1">
      <x:c r="A105" s="1"/>
      <x:c r="B105" s="1"/>
      <x:c r="C105" s="3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</x:row>
    <x:row r="106" ht="22" customHeight="1">
      <x:c r="A106" s="1"/>
      <x:c r="B106" s="1"/>
      <x:c r="C106" s="3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</x:row>
    <x:row r="107" ht="22" customHeight="1">
      <x:c r="A107" s="1"/>
      <x:c r="B107" s="1"/>
      <x:c r="C107" s="3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</x:row>
    <x:row r="108" ht="22" customHeight="1">
      <x:c r="A108" s="1"/>
      <x:c r="B108" s="1"/>
      <x:c r="C108" s="3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</x:row>
    <x:row r="109" ht="22" customHeight="1">
      <x:c r="A109" s="1"/>
      <x:c r="B109" s="1"/>
      <x:c r="C109" s="3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</x:row>
    <x:row r="110" ht="22" customHeight="1">
      <x:c r="A110" s="1"/>
      <x:c r="B110" s="1"/>
      <x:c r="C110" s="3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</x:row>
    <x:row r="111" ht="22" customHeight="1">
      <x:c r="A111" s="1"/>
      <x:c r="B111" s="1"/>
      <x:c r="C111" s="3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</x:row>
    <x:row r="112" ht="22" customHeight="1">
      <x:c r="A112" s="1"/>
      <x:c r="B112" s="1"/>
      <x:c r="C112" s="3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</x:row>
    <x:row r="113" ht="22" customHeight="1">
      <x:c r="A113" s="1"/>
      <x:c r="B113" s="1"/>
      <x:c r="C113" s="3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</x:row>
    <x:row r="114" ht="22" customHeight="1">
      <x:c r="A114" s="1"/>
      <x:c r="B114" s="1"/>
      <x:c r="C114" s="3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</x:row>
    <x:row r="115" ht="22" customHeight="1">
      <x:c r="A115" s="1"/>
      <x:c r="B115" s="1"/>
      <x:c r="C115" s="3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</x:row>
    <x:row r="116" ht="22" customHeight="1">
      <x:c r="A116" s="1"/>
      <x:c r="B116" s="1"/>
      <x:c r="C116" s="3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</x:row>
    <x:row r="117" ht="22" customHeight="1">
      <x:c r="A117" s="1"/>
      <x:c r="B117" s="1"/>
      <x:c r="C117" s="3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</x:row>
    <x:row r="118" ht="22" customHeight="1">
      <x:c r="A118" s="1"/>
      <x:c r="B118" s="1"/>
      <x:c r="C118" s="3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</x:row>
    <x:row r="119" ht="22" customHeight="1">
      <x:c r="A119" s="1"/>
      <x:c r="B119" s="1"/>
      <x:c r="C119" s="3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</x:row>
    <x:row r="120" ht="22" customHeight="1">
      <x:c r="A120" s="1"/>
      <x:c r="B120" s="1"/>
      <x:c r="C120" s="3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</x:row>
    <x:row r="121" ht="22" customHeight="1">
      <x:c r="A121" s="1"/>
      <x:c r="B121" s="1"/>
      <x:c r="C121" s="3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</x:row>
    <x:row r="122" ht="22" customHeight="1">
      <x:c r="A122" s="1"/>
      <x:c r="B122" s="1"/>
      <x:c r="C122" s="3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</x:row>
    <x:row r="123" ht="22" customHeight="1">
      <x:c r="A123" s="1"/>
      <x:c r="B123" s="1"/>
      <x:c r="C123" s="3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</x:row>
    <x:row r="124" ht="22" customHeight="1">
      <x:c r="A124" s="1"/>
      <x:c r="B124" s="1"/>
      <x:c r="C124" s="3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</x:row>
    <x:row r="125" ht="22" customHeight="1">
      <x:c r="A125" s="1"/>
      <x:c r="B125" s="1"/>
      <x:c r="C125" s="3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</x:row>
    <x:row r="126" ht="22" customHeight="1">
      <x:c r="A126" s="1"/>
      <x:c r="B126" s="1"/>
      <x:c r="C126" s="3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</x:row>
    <x:row r="127" ht="22" customHeight="1">
      <x:c r="A127" s="1"/>
      <x:c r="B127" s="1"/>
      <x:c r="C127" s="3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</x:row>
    <x:row r="128" ht="22" customHeight="1">
      <x:c r="A128" s="1"/>
      <x:c r="B128" s="1"/>
      <x:c r="C128" s="3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</x:row>
    <x:row r="129" ht="22" customHeight="1">
      <x:c r="A129" s="1"/>
      <x:c r="B129" s="1"/>
      <x:c r="C129" s="3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</x:row>
    <x:row r="130" ht="22" customHeight="1">
      <x:c r="A130" s="1"/>
      <x:c r="B130" s="1"/>
      <x:c r="C130" s="3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</x:row>
    <x:row r="131" ht="22" customHeight="1">
      <x:c r="A131" s="1"/>
      <x:c r="B131" s="1"/>
      <x:c r="C131" s="3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</x:row>
    <x:row r="132" ht="22" customHeight="1">
      <x:c r="A132" s="1"/>
      <x:c r="B132" s="1"/>
      <x:c r="C132" s="3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</x:row>
    <x:row r="133" ht="22" customHeight="1">
      <x:c r="A133" s="1"/>
      <x:c r="B133" s="1"/>
      <x:c r="C133" s="3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</x:row>
    <x:row r="134" ht="22" customHeight="1">
      <x:c r="A134" s="1"/>
      <x:c r="B134" s="1"/>
      <x:c r="C134" s="3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</x:row>
    <x:row r="135" ht="22" customHeight="1">
      <x:c r="A135" s="1"/>
      <x:c r="B135" s="1"/>
      <x:c r="C135" s="3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</x:row>
    <x:row r="136" ht="22" customHeight="1">
      <x:c r="A136" s="1"/>
      <x:c r="B136" s="1"/>
      <x:c r="C136" s="3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</x:row>
    <x:row r="137" ht="22" customHeight="1">
      <x:c r="A137" s="1"/>
      <x:c r="B137" s="1"/>
      <x:c r="C137" s="3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</x:row>
    <x:row r="138" ht="22" customHeight="1">
      <x:c r="A138" s="1"/>
      <x:c r="B138" s="1"/>
      <x:c r="C138" s="3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</x:row>
    <x:row r="139" ht="22" customHeight="1">
      <x:c r="A139" s="1"/>
      <x:c r="B139" s="1"/>
      <x:c r="C139" s="3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</x:row>
    <x:row r="140" ht="22" customHeight="1">
      <x:c r="A140" s="1"/>
      <x:c r="B140" s="1"/>
      <x:c r="C140" s="3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</x:row>
    <x:row r="141" ht="22" customHeight="1">
      <x:c r="A141" s="1"/>
      <x:c r="B141" s="1"/>
      <x:c r="C141" s="3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</x:row>
    <x:row r="142" ht="22" customHeight="1">
      <x:c r="A142" s="1"/>
      <x:c r="B142" s="1"/>
      <x:c r="C142" s="3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</x:row>
    <x:row r="143" ht="22" customHeight="1">
      <x:c r="A143" s="1"/>
      <x:c r="B143" s="1"/>
      <x:c r="C143" s="3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</x:row>
    <x:row r="144" ht="22" customHeight="1">
      <x:c r="A144" s="1"/>
      <x:c r="B144" s="1"/>
      <x:c r="C144" s="3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</x:row>
    <x:row r="145" ht="22" customHeight="1">
      <x:c r="A145" s="1"/>
      <x:c r="B145" s="1"/>
      <x:c r="C145" s="3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</x:row>
    <x:row r="146" ht="22" customHeight="1">
      <x:c r="A146" s="1"/>
      <x:c r="B146" s="1"/>
      <x:c r="C146" s="3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</x:row>
    <x:row r="147" ht="22" customHeight="1">
      <x:c r="A147" s="1"/>
      <x:c r="B147" s="1"/>
      <x:c r="C147" s="3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</x:row>
    <x:row r="148" ht="22" customHeight="1">
      <x:c r="A148" s="1"/>
      <x:c r="B148" s="1"/>
      <x:c r="C148" s="3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</x:row>
    <x:row r="149" ht="22" customHeight="1">
      <x:c r="A149" s="1"/>
      <x:c r="B149" s="1"/>
      <x:c r="C149" s="3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</x:row>
    <x:row r="150" ht="22" customHeight="1">
      <x:c r="A150" s="1"/>
      <x:c r="B150" s="1"/>
      <x:c r="C150" s="3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</x:row>
    <x:row r="151" ht="22" customHeight="1">
      <x:c r="A151" s="1"/>
      <x:c r="B151" s="1"/>
      <x:c r="C151" s="3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</x:row>
    <x:row r="152" ht="22" customHeight="1">
      <x:c r="A152" s="1"/>
      <x:c r="B152" s="1"/>
      <x:c r="C152" s="3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</x:row>
    <x:row r="153" ht="22" customHeight="1">
      <x:c r="A153" s="1"/>
      <x:c r="B153" s="1"/>
      <x:c r="C153" s="3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</x:row>
    <x:row r="154" ht="22" customHeight="1">
      <x:c r="A154" s="1"/>
      <x:c r="B154" s="1"/>
      <x:c r="C154" s="3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</x:row>
    <x:row r="155" ht="22" customHeight="1">
      <x:c r="A155" s="1"/>
      <x:c r="B155" s="1"/>
      <x:c r="C155" s="3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</x:row>
    <x:row r="156" ht="22" customHeight="1">
      <x:c r="A156" s="1"/>
      <x:c r="B156" s="1"/>
      <x:c r="C156" s="3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</x:row>
    <x:row r="157" ht="22" customHeight="1">
      <x:c r="A157" s="1"/>
      <x:c r="B157" s="1"/>
      <x:c r="C157" s="3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</x:row>
    <x:row r="158" ht="22" customHeight="1">
      <x:c r="A158" s="1"/>
      <x:c r="B158" s="1"/>
      <x:c r="C158" s="3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</x:row>
    <x:row r="159" ht="22" customHeight="1">
      <x:c r="A159" s="1"/>
      <x:c r="B159" s="1"/>
      <x:c r="C159" s="3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</x:row>
    <x:row r="160" ht="22" customHeight="1">
      <x:c r="A160" s="1"/>
      <x:c r="B160" s="1"/>
      <x:c r="C160" s="3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</x:row>
    <x:row r="161" ht="22" customHeight="1">
      <x:c r="A161" s="1"/>
      <x:c r="B161" s="1"/>
      <x:c r="C161" s="3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</x:row>
    <x:row r="162" ht="22" customHeight="1">
      <x:c r="A162" s="1"/>
      <x:c r="B162" s="1"/>
      <x:c r="C162" s="3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</x:row>
    <x:row r="163" ht="22" customHeight="1">
      <x:c r="A163" s="1"/>
      <x:c r="B163" s="1"/>
      <x:c r="C163" s="3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</x:row>
    <x:row r="164" ht="22" customHeight="1">
      <x:c r="A164" s="1"/>
      <x:c r="B164" s="1"/>
      <x:c r="C164" s="3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</x:row>
    <x:row r="165" ht="22" customHeight="1">
      <x:c r="A165" s="1"/>
      <x:c r="B165" s="1"/>
      <x:c r="C165" s="3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</x:row>
    <x:row r="166" ht="22" customHeight="1">
      <x:c r="A166" s="1"/>
      <x:c r="B166" s="1"/>
      <x:c r="C166" s="3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</x:row>
    <x:row r="167" ht="22" customHeight="1">
      <x:c r="A167" s="1"/>
      <x:c r="B167" s="1"/>
      <x:c r="C167" s="3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</x:row>
    <x:row r="168" ht="22" customHeight="1">
      <x:c r="A168" s="1"/>
      <x:c r="B168" s="1"/>
      <x:c r="C168" s="3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</x:row>
    <x:row r="169" ht="22" customHeight="1">
      <x:c r="A169" s="1"/>
      <x:c r="B169" s="1"/>
      <x:c r="C169" s="3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</x:row>
    <x:row r="170" ht="22" customHeight="1">
      <x:c r="A170" s="1"/>
      <x:c r="B170" s="1"/>
      <x:c r="C170" s="3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</x:row>
  </x:sheetData>
  <x:pageMargins left="0.7" right="0.7" top="0.75" bottom="0.75" header="0.3" footer="0.3"/>
</x:worksheet>
</file>